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Pank\Downloads\"/>
    </mc:Choice>
  </mc:AlternateContent>
  <xr:revisionPtr revIDLastSave="0" documentId="8_{507E4906-2526-4E6B-A264-F5048CE496F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Pearson 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" l="1"/>
  <c r="H50" i="1"/>
  <c r="I34" i="1"/>
  <c r="H34" i="1"/>
  <c r="I30" i="1"/>
  <c r="I29" i="1"/>
  <c r="H30" i="1"/>
  <c r="H29" i="1"/>
  <c r="I66" i="1"/>
  <c r="D12" i="1" s="1"/>
  <c r="H56" i="1"/>
  <c r="I56" i="1" s="1"/>
  <c r="I58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H33" i="1"/>
  <c r="I33" i="1" s="1"/>
  <c r="H32" i="1"/>
  <c r="I32" i="1" s="1"/>
  <c r="H31" i="1"/>
  <c r="I31" i="1" s="1"/>
  <c r="H28" i="1"/>
  <c r="I28" i="1" s="1"/>
  <c r="H27" i="1"/>
  <c r="I27" i="1" s="1"/>
  <c r="H26" i="1"/>
  <c r="H25" i="1"/>
  <c r="I25" i="1" s="1"/>
  <c r="H24" i="1"/>
  <c r="I24" i="1" s="1"/>
  <c r="H23" i="1"/>
  <c r="I23" i="1" s="1"/>
  <c r="H58" i="1" l="1"/>
  <c r="C8" i="1"/>
  <c r="I40" i="1"/>
  <c r="D8" i="1" s="1"/>
  <c r="H20" i="1" l="1"/>
  <c r="I21" i="1"/>
  <c r="H22" i="1"/>
  <c r="I22" i="1" s="1"/>
  <c r="I26" i="1"/>
  <c r="I20" i="1" l="1"/>
  <c r="H19" i="1"/>
  <c r="I19" i="1" s="1"/>
  <c r="H18" i="1"/>
  <c r="I18" i="1" s="1"/>
  <c r="D7" i="1" l="1"/>
  <c r="C7" i="1" l="1"/>
  <c r="D9" i="1" l="1"/>
  <c r="D13" i="1" s="1"/>
  <c r="C9" i="1"/>
</calcChain>
</file>

<file path=xl/sharedStrings.xml><?xml version="1.0" encoding="utf-8"?>
<sst xmlns="http://schemas.openxmlformats.org/spreadsheetml/2006/main" count="158" uniqueCount="83">
  <si>
    <t>Overview</t>
  </si>
  <si>
    <t>Environment</t>
  </si>
  <si>
    <t>Monthly Cost</t>
  </si>
  <si>
    <t>Yearly Cost</t>
  </si>
  <si>
    <t>Production</t>
  </si>
  <si>
    <t>TOTAL</t>
  </si>
  <si>
    <t>Part No.</t>
  </si>
  <si>
    <t>Description</t>
  </si>
  <si>
    <t>Hours / month</t>
  </si>
  <si>
    <t>Qty of CPUs / Other</t>
  </si>
  <si>
    <t>Unit</t>
  </si>
  <si>
    <t>Unit Price</t>
  </si>
  <si>
    <t>List Price / Month</t>
  </si>
  <si>
    <t>Price / Year</t>
  </si>
  <si>
    <t>Comment</t>
  </si>
  <si>
    <t>OCPU Per Hour</t>
  </si>
  <si>
    <t>B89637</t>
  </si>
  <si>
    <t>Oracle Cloud Infrastructure - Oracle Analytics Cloud Enterprise - (BYOL)</t>
  </si>
  <si>
    <t>Oracle Cloud Infrastructure - Autonomous Data Warehouse (BYOL)</t>
  </si>
  <si>
    <t>Gigabyte per hour</t>
  </si>
  <si>
    <t>OAC BYOL</t>
  </si>
  <si>
    <t>Oracle Cloud Infrastructure - Exa Data Storage</t>
  </si>
  <si>
    <t>TB Storage Capacity Per Month</t>
  </si>
  <si>
    <t>ADW Storage</t>
  </si>
  <si>
    <t>Pre Prod</t>
  </si>
  <si>
    <t>ADW BYOL</t>
  </si>
  <si>
    <t xml:space="preserve">Oracle Cloud Infrastructure - ADA Marketplace App </t>
  </si>
  <si>
    <t>Oracle Cloud Infrastructure - Generativce AI Service - On Demand</t>
  </si>
  <si>
    <t>Oracle Cloud Infrastructure - Generative AI Embedding - On Demand</t>
  </si>
  <si>
    <t>Oracle Cloud Infrastructure - E5 Standard Virtual Machine</t>
  </si>
  <si>
    <t>Oracle Cloud Infrastructure - E5 Standard Virtual Machine Memory</t>
  </si>
  <si>
    <t>Oracle Cloud Infrastructure - Object Storage</t>
  </si>
  <si>
    <t>Oracle Cloud Infrastructure - Block Volume</t>
  </si>
  <si>
    <t>Oracle Cloud Infrastructure - Block Volume perfomance units</t>
  </si>
  <si>
    <t>Performance units</t>
  </si>
  <si>
    <t>Port Hour</t>
  </si>
  <si>
    <t>B95703</t>
  </si>
  <si>
    <t>ECPU Per Hour</t>
  </si>
  <si>
    <t>Oracle Cloud Infrastructure - Digital Assistant</t>
  </si>
  <si>
    <t>B92993</t>
  </si>
  <si>
    <t>B91628</t>
  </si>
  <si>
    <t>Gigabyte Storage per Month</t>
  </si>
  <si>
    <t>B91961</t>
  </si>
  <si>
    <t>B91962</t>
  </si>
  <si>
    <t>Oracle Cloud Infrstructrure - Fast Connect</t>
  </si>
  <si>
    <t>B88325</t>
  </si>
  <si>
    <t>B97384</t>
  </si>
  <si>
    <t>B97385</t>
  </si>
  <si>
    <t>Per 10,000 Transactions</t>
  </si>
  <si>
    <t>100M Monthly Transactions</t>
  </si>
  <si>
    <t>100M Monthly Transactions for Embeddings</t>
  </si>
  <si>
    <t>DB Backup and extra Object storage</t>
  </si>
  <si>
    <t>VM Block Volume</t>
  </si>
  <si>
    <t>Block Volume Performance Units</t>
  </si>
  <si>
    <t>Private Fast Connect (Optional)</t>
  </si>
  <si>
    <t>Linux Machine - E5 VM</t>
  </si>
  <si>
    <t>Requests</t>
  </si>
  <si>
    <t>180K Monthly Requests</t>
  </si>
  <si>
    <t>B90260</t>
  </si>
  <si>
    <t>B108077</t>
  </si>
  <si>
    <t>B108079</t>
  </si>
  <si>
    <t>B95754</t>
  </si>
  <si>
    <t>VM Memory</t>
  </si>
  <si>
    <t>Oracle Cloud Infrastructure Generative AI - Large Meta</t>
  </si>
  <si>
    <t>Dedicated Llama 3.3 70B</t>
  </si>
  <si>
    <t>AI Unit Per hour</t>
  </si>
  <si>
    <t>Dedicated Cluster Option</t>
  </si>
  <si>
    <t>Oracle Cloud Infrastructrure - GoldenGate (BYOL)</t>
  </si>
  <si>
    <t>Golden Gate BYOL</t>
  </si>
  <si>
    <t>Service &amp; Deployment</t>
  </si>
  <si>
    <t>Service Cost</t>
  </si>
  <si>
    <t xml:space="preserve">Analytics Digital Assitant - Pilot Build </t>
  </si>
  <si>
    <t>Analytics Digital Assitant - Testing and Refinement</t>
  </si>
  <si>
    <t>Analytics Digital Assitant - Deployment and Hypercare</t>
  </si>
  <si>
    <t>One Time Cost</t>
  </si>
  <si>
    <t>Total First Year Cost</t>
  </si>
  <si>
    <t>10M Monthly Transactions, cohere R+</t>
  </si>
  <si>
    <t>10M Monthly Transactions for Embeddings</t>
  </si>
  <si>
    <t>Oracle Cloud Infrastrucrture - E5 Standard Virtual Machine</t>
  </si>
  <si>
    <t>Oracle Cloud Infrastrucrture - E5 Standard Virtual Machine Memory</t>
  </si>
  <si>
    <t>ODI VM</t>
  </si>
  <si>
    <t>ODI VM Memory</t>
  </si>
  <si>
    <t>ADA Marketplace APP TPX (No OSR)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</si>
</sst>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&quot;£&quot;#,##0.000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theme="9" tint="0.79998168889431442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4" fontId="0" fillId="0" borderId="0" xfId="0" applyNumberFormat="1"/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4" fillId="0" borderId="0" xfId="0" applyFont="1" applyFill="1"/>
    <xf numFmtId="0" fontId="4" fillId="0" borderId="0" xfId="0" applyFont="1"/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3" fontId="3" fillId="2" borderId="6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vertical="center"/>
    </xf>
    <xf numFmtId="164" fontId="2" fillId="2" borderId="6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horizontal="center" vertical="center"/>
    </xf>
    <xf numFmtId="165" fontId="3" fillId="2" borderId="3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164" fontId="2" fillId="2" borderId="8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/>
    </xf>
    <xf numFmtId="164" fontId="4" fillId="0" borderId="0" xfId="0" applyNumberFormat="1" applyFont="1"/>
    <xf numFmtId="164" fontId="5" fillId="0" borderId="0" xfId="0" applyNumberFormat="1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/>
    </xf>
    <xf numFmtId="165" fontId="2" fillId="2" borderId="8" xfId="0" applyNumberFormat="1" applyFont="1" applyFill="1" applyBorder="1" applyAlignment="1">
      <alignment vertic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6"/>
  <sheetViews>
    <sheetView tabSelected="1" topLeftCell="A41" workbookViewId="0">
      <selection activeCell="C19" sqref="C19"/>
    </sheetView>
  </sheetViews>
  <sheetFormatPr defaultColWidth="8.796875" defaultRowHeight="14.25" x14ac:dyDescent="0.45"/>
  <cols>
    <col min="2" max="2" width="17.86328125" customWidth="1"/>
    <col min="3" max="3" width="67.33203125" bestFit="1" customWidth="1"/>
    <col min="4" max="4" width="14.06640625" customWidth="1"/>
    <col min="6" max="6" width="29.59765625" bestFit="1" customWidth="1"/>
    <col min="8" max="8" width="9.1328125" customWidth="1"/>
    <col min="9" max="9" width="14.9296875" customWidth="1"/>
    <col min="10" max="10" width="34.33203125" customWidth="1"/>
  </cols>
  <sheetData>
    <row r="2" spans="2:8" x14ac:dyDescent="0.45">
      <c r="G2" s="18"/>
      <c r="H2" s="18"/>
    </row>
    <row r="4" spans="2:8" ht="15.75" x14ac:dyDescent="0.5">
      <c r="B4" s="1" t="s">
        <v>0</v>
      </c>
    </row>
    <row r="6" spans="2:8" x14ac:dyDescent="0.45">
      <c r="B6" s="2" t="s">
        <v>1</v>
      </c>
      <c r="C6" s="2" t="s">
        <v>2</v>
      </c>
      <c r="D6" s="2" t="s">
        <v>3</v>
      </c>
    </row>
    <row r="7" spans="2:8" ht="16.05" customHeight="1" x14ac:dyDescent="0.45">
      <c r="B7" s="3" t="s">
        <v>4</v>
      </c>
      <c r="C7" s="4">
        <f>H34</f>
        <v>9538.1450999999997</v>
      </c>
      <c r="D7" s="4">
        <f>I34</f>
        <v>114457.7412</v>
      </c>
    </row>
    <row r="8" spans="2:8" ht="17" customHeight="1" x14ac:dyDescent="0.45">
      <c r="B8" s="3" t="s">
        <v>24</v>
      </c>
      <c r="C8" s="4">
        <f>(H50)</f>
        <v>931.24569999999983</v>
      </c>
      <c r="D8" s="4">
        <f>(I50)</f>
        <v>11174.948399999997</v>
      </c>
    </row>
    <row r="9" spans="2:8" x14ac:dyDescent="0.45">
      <c r="B9" s="5" t="s">
        <v>5</v>
      </c>
      <c r="C9" s="6">
        <f>SUM(C7:C8)</f>
        <v>10469.390799999999</v>
      </c>
      <c r="D9" s="6">
        <f>SUM(D7:D8)</f>
        <v>125632.6896</v>
      </c>
    </row>
    <row r="11" spans="2:8" x14ac:dyDescent="0.45">
      <c r="C11" s="40" t="s">
        <v>74</v>
      </c>
      <c r="D11" s="40"/>
    </row>
    <row r="12" spans="2:8" x14ac:dyDescent="0.45">
      <c r="B12" s="3" t="s">
        <v>69</v>
      </c>
      <c r="C12" s="4"/>
      <c r="D12" s="4">
        <f>(I66)</f>
        <v>125000</v>
      </c>
    </row>
    <row r="13" spans="2:8" ht="15.75" x14ac:dyDescent="0.5">
      <c r="B13" s="1"/>
      <c r="C13" s="19" t="s">
        <v>75</v>
      </c>
      <c r="D13" s="34">
        <f>(D9+D12)</f>
        <v>250632.68959999998</v>
      </c>
    </row>
    <row r="14" spans="2:8" ht="15.75" x14ac:dyDescent="0.5">
      <c r="B14" s="1"/>
      <c r="D14" s="33"/>
    </row>
    <row r="15" spans="2:8" ht="15.75" x14ac:dyDescent="0.5">
      <c r="B15" s="1" t="s">
        <v>4</v>
      </c>
    </row>
    <row r="17" spans="2:12" ht="39.4" x14ac:dyDescent="0.45">
      <c r="B17" s="2" t="s">
        <v>6</v>
      </c>
      <c r="C17" s="2" t="s">
        <v>7</v>
      </c>
      <c r="D17" s="2" t="s">
        <v>8</v>
      </c>
      <c r="E17" s="2" t="s">
        <v>9</v>
      </c>
      <c r="F17" s="2" t="s">
        <v>10</v>
      </c>
      <c r="G17" s="2" t="s">
        <v>11</v>
      </c>
      <c r="H17" s="2" t="s">
        <v>12</v>
      </c>
      <c r="I17" s="2" t="s">
        <v>13</v>
      </c>
      <c r="J17" s="2" t="s">
        <v>14</v>
      </c>
    </row>
    <row r="18" spans="2:12" x14ac:dyDescent="0.45">
      <c r="B18" s="12" t="s">
        <v>16</v>
      </c>
      <c r="C18" s="13" t="s">
        <v>17</v>
      </c>
      <c r="D18" s="12">
        <v>730.5</v>
      </c>
      <c r="E18" s="14">
        <v>2</v>
      </c>
      <c r="F18" s="13" t="s">
        <v>15</v>
      </c>
      <c r="G18" s="15">
        <v>0.2576</v>
      </c>
      <c r="H18" s="4">
        <f>G18*E18*D18</f>
        <v>376.35359999999997</v>
      </c>
      <c r="I18" s="4">
        <f t="shared" ref="I18:I19" si="0">H18*12</f>
        <v>4516.2431999999999</v>
      </c>
      <c r="J18" s="16" t="s">
        <v>20</v>
      </c>
      <c r="L18" s="9"/>
    </row>
    <row r="19" spans="2:12" x14ac:dyDescent="0.45">
      <c r="B19" s="12" t="s">
        <v>36</v>
      </c>
      <c r="C19" s="13" t="s">
        <v>18</v>
      </c>
      <c r="D19" s="12">
        <v>730.5</v>
      </c>
      <c r="E19" s="14">
        <v>12</v>
      </c>
      <c r="F19" s="13" t="s">
        <v>37</v>
      </c>
      <c r="G19" s="15">
        <v>6.4449999999999993E-2</v>
      </c>
      <c r="H19" s="4">
        <f>G19*E19*D19</f>
        <v>564.9686999999999</v>
      </c>
      <c r="I19" s="4">
        <f t="shared" si="0"/>
        <v>6779.6243999999988</v>
      </c>
      <c r="J19" s="16" t="s">
        <v>25</v>
      </c>
      <c r="L19" s="9"/>
    </row>
    <row r="20" spans="2:12" ht="14.65" thickBot="1" x14ac:dyDescent="0.5">
      <c r="B20" s="20" t="s">
        <v>61</v>
      </c>
      <c r="C20" s="21" t="s">
        <v>21</v>
      </c>
      <c r="D20" s="20">
        <v>730.5</v>
      </c>
      <c r="E20" s="22">
        <v>1000</v>
      </c>
      <c r="F20" s="21" t="s">
        <v>22</v>
      </c>
      <c r="G20" s="23">
        <v>1.9400000000000001E-2</v>
      </c>
      <c r="H20" s="24">
        <f>(G20*E20)</f>
        <v>19.400000000000002</v>
      </c>
      <c r="I20" s="24">
        <f>H20*12</f>
        <v>232.8</v>
      </c>
      <c r="J20" s="25" t="s">
        <v>23</v>
      </c>
      <c r="L20" s="9"/>
    </row>
    <row r="21" spans="2:12" ht="14.65" thickBot="1" x14ac:dyDescent="0.5">
      <c r="B21" s="35"/>
      <c r="C21" s="36" t="s">
        <v>26</v>
      </c>
      <c r="D21" s="37">
        <v>730.5</v>
      </c>
      <c r="E21" s="38">
        <v>1</v>
      </c>
      <c r="F21" s="36" t="s">
        <v>15</v>
      </c>
      <c r="G21" s="39">
        <v>1.78E-2</v>
      </c>
      <c r="H21" s="31">
        <v>3760</v>
      </c>
      <c r="I21" s="31">
        <f>H21*12</f>
        <v>45120</v>
      </c>
      <c r="J21" s="32" t="s">
        <v>82</v>
      </c>
    </row>
    <row r="22" spans="2:12" x14ac:dyDescent="0.45">
      <c r="B22" s="8" t="s">
        <v>39</v>
      </c>
      <c r="C22" s="26" t="s">
        <v>67</v>
      </c>
      <c r="D22" s="8">
        <v>730.5</v>
      </c>
      <c r="E22" s="27">
        <v>4</v>
      </c>
      <c r="F22" s="26" t="s">
        <v>15</v>
      </c>
      <c r="G22" s="28">
        <v>0.2576</v>
      </c>
      <c r="H22" s="29">
        <f>G22*E22*D22</f>
        <v>752.70719999999994</v>
      </c>
      <c r="I22" s="29">
        <f t="shared" ref="I22:I26" si="1">H22*12</f>
        <v>9032.4863999999998</v>
      </c>
      <c r="J22" s="30" t="s">
        <v>68</v>
      </c>
    </row>
    <row r="23" spans="2:12" x14ac:dyDescent="0.45">
      <c r="B23" s="12" t="s">
        <v>40</v>
      </c>
      <c r="C23" s="13" t="s">
        <v>31</v>
      </c>
      <c r="D23" s="12">
        <v>1</v>
      </c>
      <c r="E23" s="14">
        <v>5000</v>
      </c>
      <c r="F23" s="13" t="s">
        <v>41</v>
      </c>
      <c r="G23" s="15">
        <v>2.0299999999999999E-2</v>
      </c>
      <c r="H23" s="4">
        <f>(G23*E23)</f>
        <v>101.5</v>
      </c>
      <c r="I23" s="4">
        <f>(H23*12)</f>
        <v>1218</v>
      </c>
      <c r="J23" s="16" t="s">
        <v>51</v>
      </c>
    </row>
    <row r="24" spans="2:12" x14ac:dyDescent="0.45">
      <c r="B24" s="12" t="s">
        <v>42</v>
      </c>
      <c r="C24" s="13" t="s">
        <v>32</v>
      </c>
      <c r="D24" s="12">
        <v>1</v>
      </c>
      <c r="E24" s="14">
        <v>1000</v>
      </c>
      <c r="F24" s="13" t="s">
        <v>41</v>
      </c>
      <c r="G24" s="15">
        <v>2.0299999999999999E-2</v>
      </c>
      <c r="H24" s="4">
        <f>(G24*E24)</f>
        <v>20.299999999999997</v>
      </c>
      <c r="I24" s="4">
        <f>(H24*12)</f>
        <v>243.59999999999997</v>
      </c>
      <c r="J24" s="16" t="s">
        <v>52</v>
      </c>
    </row>
    <row r="25" spans="2:12" x14ac:dyDescent="0.45">
      <c r="B25" s="12" t="s">
        <v>43</v>
      </c>
      <c r="C25" s="13" t="s">
        <v>33</v>
      </c>
      <c r="D25" s="12">
        <v>1</v>
      </c>
      <c r="E25" s="14">
        <v>10000</v>
      </c>
      <c r="F25" s="13" t="s">
        <v>34</v>
      </c>
      <c r="G25" s="15">
        <v>1.2999999999999999E-3</v>
      </c>
      <c r="H25" s="4">
        <f>(G25*E25)</f>
        <v>13</v>
      </c>
      <c r="I25" s="4">
        <f>(H25*12)</f>
        <v>156</v>
      </c>
      <c r="J25" s="16" t="s">
        <v>53</v>
      </c>
    </row>
    <row r="26" spans="2:12" x14ac:dyDescent="0.45">
      <c r="B26" s="12" t="s">
        <v>45</v>
      </c>
      <c r="C26" s="13" t="s">
        <v>44</v>
      </c>
      <c r="D26" s="12">
        <v>730.5</v>
      </c>
      <c r="E26" s="14">
        <v>0</v>
      </c>
      <c r="F26" s="13" t="s">
        <v>35</v>
      </c>
      <c r="G26" s="15">
        <v>0.16969999999999999</v>
      </c>
      <c r="H26" s="4">
        <f t="shared" ref="H26:H33" si="2">(G26*E26*D26)</f>
        <v>0</v>
      </c>
      <c r="I26" s="4">
        <f t="shared" si="1"/>
        <v>0</v>
      </c>
      <c r="J26" s="17" t="s">
        <v>54</v>
      </c>
    </row>
    <row r="27" spans="2:12" x14ac:dyDescent="0.45">
      <c r="B27" s="12" t="s">
        <v>46</v>
      </c>
      <c r="C27" s="13" t="s">
        <v>29</v>
      </c>
      <c r="D27" s="12">
        <v>730.5</v>
      </c>
      <c r="E27" s="14">
        <v>2</v>
      </c>
      <c r="F27" s="13" t="s">
        <v>15</v>
      </c>
      <c r="G27" s="15">
        <v>2.3900000000000001E-2</v>
      </c>
      <c r="H27" s="4">
        <f t="shared" si="2"/>
        <v>34.917900000000003</v>
      </c>
      <c r="I27" s="4">
        <f t="shared" ref="I27:I33" si="3">(H27*12)</f>
        <v>419.01480000000004</v>
      </c>
      <c r="J27" s="16" t="s">
        <v>55</v>
      </c>
    </row>
    <row r="28" spans="2:12" x14ac:dyDescent="0.45">
      <c r="B28" s="12" t="s">
        <v>47</v>
      </c>
      <c r="C28" s="13" t="s">
        <v>30</v>
      </c>
      <c r="D28" s="12">
        <v>730.5</v>
      </c>
      <c r="E28" s="14">
        <v>32</v>
      </c>
      <c r="F28" s="13" t="s">
        <v>19</v>
      </c>
      <c r="G28" s="15">
        <v>1.5E-3</v>
      </c>
      <c r="H28" s="4">
        <f t="shared" si="2"/>
        <v>35.064</v>
      </c>
      <c r="I28" s="4">
        <f t="shared" si="3"/>
        <v>420.76800000000003</v>
      </c>
      <c r="J28" s="16" t="s">
        <v>62</v>
      </c>
    </row>
    <row r="29" spans="2:12" x14ac:dyDescent="0.45">
      <c r="B29" s="12" t="s">
        <v>46</v>
      </c>
      <c r="C29" s="13" t="s">
        <v>78</v>
      </c>
      <c r="D29" s="12">
        <v>730.5</v>
      </c>
      <c r="E29" s="14">
        <v>16</v>
      </c>
      <c r="F29" s="13" t="s">
        <v>15</v>
      </c>
      <c r="G29" s="15">
        <v>2.3900000000000001E-2</v>
      </c>
      <c r="H29" s="4">
        <f t="shared" si="2"/>
        <v>279.34320000000002</v>
      </c>
      <c r="I29" s="4">
        <f t="shared" si="3"/>
        <v>3352.1184000000003</v>
      </c>
      <c r="J29" s="16" t="s">
        <v>80</v>
      </c>
    </row>
    <row r="30" spans="2:12" x14ac:dyDescent="0.45">
      <c r="B30" s="12" t="s">
        <v>47</v>
      </c>
      <c r="C30" s="13" t="s">
        <v>79</v>
      </c>
      <c r="D30" s="12">
        <v>730.5</v>
      </c>
      <c r="E30" s="14">
        <v>64</v>
      </c>
      <c r="F30" s="13" t="s">
        <v>19</v>
      </c>
      <c r="G30" s="15">
        <v>1.5E-3</v>
      </c>
      <c r="H30" s="4">
        <f t="shared" si="2"/>
        <v>70.128</v>
      </c>
      <c r="I30" s="4">
        <f t="shared" si="3"/>
        <v>841.53600000000006</v>
      </c>
      <c r="J30" s="16" t="s">
        <v>81</v>
      </c>
    </row>
    <row r="31" spans="2:12" x14ac:dyDescent="0.45">
      <c r="B31" s="12" t="s">
        <v>58</v>
      </c>
      <c r="C31" s="13" t="s">
        <v>38</v>
      </c>
      <c r="D31" s="12">
        <v>730.5</v>
      </c>
      <c r="E31" s="14">
        <v>250</v>
      </c>
      <c r="F31" s="13" t="s">
        <v>56</v>
      </c>
      <c r="G31" s="15">
        <v>1.8499999999999999E-2</v>
      </c>
      <c r="H31" s="4">
        <f t="shared" si="2"/>
        <v>3378.5625</v>
      </c>
      <c r="I31" s="4">
        <f t="shared" si="3"/>
        <v>40542.75</v>
      </c>
      <c r="J31" s="16" t="s">
        <v>57</v>
      </c>
    </row>
    <row r="32" spans="2:12" x14ac:dyDescent="0.45">
      <c r="B32" s="12" t="s">
        <v>59</v>
      </c>
      <c r="C32" s="13" t="s">
        <v>27</v>
      </c>
      <c r="D32" s="12">
        <v>1</v>
      </c>
      <c r="E32" s="14">
        <v>10000</v>
      </c>
      <c r="F32" s="13" t="s">
        <v>48</v>
      </c>
      <c r="G32" s="15">
        <v>1.24E-2</v>
      </c>
      <c r="H32" s="4">
        <f t="shared" si="2"/>
        <v>124</v>
      </c>
      <c r="I32" s="4">
        <f t="shared" si="3"/>
        <v>1488</v>
      </c>
      <c r="J32" s="16" t="s">
        <v>49</v>
      </c>
    </row>
    <row r="33" spans="2:11" x14ac:dyDescent="0.45">
      <c r="B33" s="12" t="s">
        <v>60</v>
      </c>
      <c r="C33" s="13" t="s">
        <v>28</v>
      </c>
      <c r="D33" s="12">
        <v>1</v>
      </c>
      <c r="E33" s="14">
        <v>10000</v>
      </c>
      <c r="F33" s="13" t="s">
        <v>48</v>
      </c>
      <c r="G33" s="15">
        <v>7.9000000000000001E-4</v>
      </c>
      <c r="H33" s="4">
        <f t="shared" si="2"/>
        <v>7.9</v>
      </c>
      <c r="I33" s="4">
        <f t="shared" si="3"/>
        <v>94.800000000000011</v>
      </c>
      <c r="J33" s="16" t="s">
        <v>50</v>
      </c>
    </row>
    <row r="34" spans="2:11" x14ac:dyDescent="0.45">
      <c r="G34" s="10" t="s">
        <v>5</v>
      </c>
      <c r="H34" s="11">
        <f>SUM(H18:H33)</f>
        <v>9538.1450999999997</v>
      </c>
      <c r="I34" s="11">
        <f>SUM(I18:I33)</f>
        <v>114457.7412</v>
      </c>
    </row>
    <row r="37" spans="2:11" ht="15.75" x14ac:dyDescent="0.5">
      <c r="B37" s="1" t="s">
        <v>24</v>
      </c>
    </row>
    <row r="39" spans="2:11" ht="39.4" x14ac:dyDescent="0.45">
      <c r="B39" s="2" t="s">
        <v>6</v>
      </c>
      <c r="C39" s="7" t="s">
        <v>7</v>
      </c>
      <c r="D39" s="7" t="s">
        <v>8</v>
      </c>
      <c r="E39" s="7" t="s">
        <v>9</v>
      </c>
      <c r="F39" s="7" t="s">
        <v>10</v>
      </c>
      <c r="G39" s="7" t="s">
        <v>11</v>
      </c>
      <c r="H39" s="7" t="s">
        <v>12</v>
      </c>
      <c r="I39" s="7" t="s">
        <v>13</v>
      </c>
      <c r="J39" s="7" t="s">
        <v>14</v>
      </c>
    </row>
    <row r="40" spans="2:11" x14ac:dyDescent="0.45">
      <c r="B40" s="12" t="s">
        <v>16</v>
      </c>
      <c r="C40" s="13" t="s">
        <v>17</v>
      </c>
      <c r="D40" s="12">
        <v>730.5</v>
      </c>
      <c r="E40" s="14">
        <v>1</v>
      </c>
      <c r="F40" s="13" t="s">
        <v>15</v>
      </c>
      <c r="G40" s="15">
        <v>0.2576</v>
      </c>
      <c r="H40" s="4">
        <f>G40*E40*D40</f>
        <v>188.17679999999999</v>
      </c>
      <c r="I40" s="4">
        <f t="shared" ref="I40:I41" si="4">H40*12</f>
        <v>2258.1215999999999</v>
      </c>
      <c r="J40" s="16" t="s">
        <v>20</v>
      </c>
    </row>
    <row r="41" spans="2:11" x14ac:dyDescent="0.45">
      <c r="B41" s="12" t="s">
        <v>36</v>
      </c>
      <c r="C41" s="13" t="s">
        <v>18</v>
      </c>
      <c r="D41" s="12">
        <v>730.5</v>
      </c>
      <c r="E41" s="14">
        <v>6</v>
      </c>
      <c r="F41" s="13" t="s">
        <v>37</v>
      </c>
      <c r="G41" s="15">
        <v>6.4449999999999993E-2</v>
      </c>
      <c r="H41" s="4">
        <f>G41*E41*D41</f>
        <v>282.48434999999995</v>
      </c>
      <c r="I41" s="4">
        <f t="shared" si="4"/>
        <v>3389.8121999999994</v>
      </c>
      <c r="J41" s="16" t="s">
        <v>25</v>
      </c>
    </row>
    <row r="42" spans="2:11" x14ac:dyDescent="0.45">
      <c r="B42" s="12" t="s">
        <v>61</v>
      </c>
      <c r="C42" s="13" t="s">
        <v>21</v>
      </c>
      <c r="D42" s="12">
        <v>730.5</v>
      </c>
      <c r="E42" s="14">
        <v>1000</v>
      </c>
      <c r="F42" s="13" t="s">
        <v>22</v>
      </c>
      <c r="G42" s="15">
        <v>1.9400000000000001E-2</v>
      </c>
      <c r="H42" s="4">
        <f>(G42*E42)</f>
        <v>19.400000000000002</v>
      </c>
      <c r="I42" s="4">
        <f>H42*12</f>
        <v>232.8</v>
      </c>
      <c r="J42" s="16" t="s">
        <v>23</v>
      </c>
    </row>
    <row r="43" spans="2:11" x14ac:dyDescent="0.45">
      <c r="B43" s="12" t="s">
        <v>39</v>
      </c>
      <c r="C43" s="13" t="s">
        <v>67</v>
      </c>
      <c r="D43" s="12">
        <v>730.5</v>
      </c>
      <c r="E43" s="14">
        <v>2</v>
      </c>
      <c r="F43" s="13" t="s">
        <v>15</v>
      </c>
      <c r="G43" s="15">
        <v>0.2576</v>
      </c>
      <c r="H43" s="4">
        <f>G43*E43*D43</f>
        <v>376.35359999999997</v>
      </c>
      <c r="I43" s="4">
        <f t="shared" ref="I43" si="5">H43*12</f>
        <v>4516.2431999999999</v>
      </c>
      <c r="J43" s="16" t="s">
        <v>68</v>
      </c>
    </row>
    <row r="44" spans="2:11" x14ac:dyDescent="0.45">
      <c r="B44" s="12" t="s">
        <v>42</v>
      </c>
      <c r="C44" s="13" t="s">
        <v>32</v>
      </c>
      <c r="D44" s="12">
        <v>1</v>
      </c>
      <c r="E44" s="14">
        <v>500</v>
      </c>
      <c r="F44" s="13" t="s">
        <v>41</v>
      </c>
      <c r="G44" s="15">
        <v>2.0299999999999999E-2</v>
      </c>
      <c r="H44" s="4">
        <f>(G44*E44)</f>
        <v>10.149999999999999</v>
      </c>
      <c r="I44" s="4">
        <f t="shared" ref="I44:I49" si="6">(H44*12)</f>
        <v>121.79999999999998</v>
      </c>
      <c r="J44" s="16" t="s">
        <v>52</v>
      </c>
    </row>
    <row r="45" spans="2:11" x14ac:dyDescent="0.45">
      <c r="B45" s="12" t="s">
        <v>43</v>
      </c>
      <c r="C45" s="13" t="s">
        <v>33</v>
      </c>
      <c r="D45" s="12">
        <v>1</v>
      </c>
      <c r="E45" s="14">
        <v>5000</v>
      </c>
      <c r="F45" s="13" t="s">
        <v>34</v>
      </c>
      <c r="G45" s="15">
        <v>1.2999999999999999E-3</v>
      </c>
      <c r="H45" s="4">
        <f>(G45*E45)</f>
        <v>6.5</v>
      </c>
      <c r="I45" s="4">
        <f t="shared" si="6"/>
        <v>78</v>
      </c>
      <c r="J45" s="16" t="s">
        <v>53</v>
      </c>
    </row>
    <row r="46" spans="2:11" x14ac:dyDescent="0.45">
      <c r="B46" s="12" t="s">
        <v>46</v>
      </c>
      <c r="C46" s="13" t="s">
        <v>29</v>
      </c>
      <c r="D46" s="12">
        <v>730.5</v>
      </c>
      <c r="E46" s="14">
        <v>1</v>
      </c>
      <c r="F46" s="13" t="s">
        <v>15</v>
      </c>
      <c r="G46" s="15">
        <v>2.3900000000000001E-2</v>
      </c>
      <c r="H46" s="4">
        <f>(G46*E46*D46)</f>
        <v>17.458950000000002</v>
      </c>
      <c r="I46" s="4">
        <f t="shared" si="6"/>
        <v>209.50740000000002</v>
      </c>
      <c r="J46" s="16" t="s">
        <v>55</v>
      </c>
    </row>
    <row r="47" spans="2:11" x14ac:dyDescent="0.45">
      <c r="B47" s="12" t="s">
        <v>47</v>
      </c>
      <c r="C47" s="13" t="s">
        <v>30</v>
      </c>
      <c r="D47" s="12">
        <v>730.5</v>
      </c>
      <c r="E47" s="14">
        <v>16</v>
      </c>
      <c r="F47" s="13" t="s">
        <v>19</v>
      </c>
      <c r="G47" s="15">
        <v>1.5E-3</v>
      </c>
      <c r="H47" s="4">
        <f>(G47*E47*D47)</f>
        <v>17.532</v>
      </c>
      <c r="I47" s="4">
        <f t="shared" si="6"/>
        <v>210.38400000000001</v>
      </c>
      <c r="J47" s="16" t="s">
        <v>62</v>
      </c>
      <c r="K47" s="19"/>
    </row>
    <row r="48" spans="2:11" x14ac:dyDescent="0.45">
      <c r="B48" s="12" t="s">
        <v>59</v>
      </c>
      <c r="C48" s="13" t="s">
        <v>27</v>
      </c>
      <c r="D48" s="12">
        <v>1</v>
      </c>
      <c r="E48" s="14">
        <v>1000</v>
      </c>
      <c r="F48" s="13" t="s">
        <v>48</v>
      </c>
      <c r="G48" s="15">
        <v>1.24E-2</v>
      </c>
      <c r="H48" s="4">
        <f>(G48*E48*D48)</f>
        <v>12.4</v>
      </c>
      <c r="I48" s="4">
        <f t="shared" si="6"/>
        <v>148.80000000000001</v>
      </c>
      <c r="J48" s="16" t="s">
        <v>76</v>
      </c>
    </row>
    <row r="49" spans="2:10" x14ac:dyDescent="0.45">
      <c r="B49" s="12" t="s">
        <v>60</v>
      </c>
      <c r="C49" s="13" t="s">
        <v>28</v>
      </c>
      <c r="D49" s="12">
        <v>1</v>
      </c>
      <c r="E49" s="14">
        <v>1000</v>
      </c>
      <c r="F49" s="13" t="s">
        <v>48</v>
      </c>
      <c r="G49" s="15">
        <v>7.9000000000000001E-4</v>
      </c>
      <c r="H49" s="4">
        <f>(G49*E49*D49)</f>
        <v>0.79</v>
      </c>
      <c r="I49" s="4">
        <f t="shared" si="6"/>
        <v>9.48</v>
      </c>
      <c r="J49" s="16" t="s">
        <v>77</v>
      </c>
    </row>
    <row r="50" spans="2:10" x14ac:dyDescent="0.45">
      <c r="G50" s="10" t="s">
        <v>5</v>
      </c>
      <c r="H50" s="11">
        <f>SUM(H40:H49)</f>
        <v>931.24569999999983</v>
      </c>
      <c r="I50" s="11">
        <f>SUM(I40:I49)</f>
        <v>11174.948399999997</v>
      </c>
    </row>
    <row r="53" spans="2:10" x14ac:dyDescent="0.45">
      <c r="B53" s="19" t="s">
        <v>66</v>
      </c>
      <c r="C53" s="19"/>
    </row>
    <row r="55" spans="2:10" ht="39.4" x14ac:dyDescent="0.45">
      <c r="B55" s="2" t="s">
        <v>6</v>
      </c>
      <c r="C55" s="7" t="s">
        <v>7</v>
      </c>
      <c r="D55" s="7" t="s">
        <v>8</v>
      </c>
      <c r="E55" s="7" t="s">
        <v>9</v>
      </c>
      <c r="F55" s="7" t="s">
        <v>10</v>
      </c>
      <c r="G55" s="7" t="s">
        <v>11</v>
      </c>
      <c r="H55" s="7" t="s">
        <v>12</v>
      </c>
      <c r="I55" s="7" t="s">
        <v>13</v>
      </c>
      <c r="J55" s="7" t="s">
        <v>14</v>
      </c>
    </row>
    <row r="56" spans="2:10" x14ac:dyDescent="0.45">
      <c r="B56" s="12" t="s">
        <v>16</v>
      </c>
      <c r="C56" s="13" t="s">
        <v>63</v>
      </c>
      <c r="D56" s="12">
        <v>730.5</v>
      </c>
      <c r="E56" s="14">
        <v>2</v>
      </c>
      <c r="F56" s="13" t="s">
        <v>65</v>
      </c>
      <c r="G56" s="15">
        <v>9.5839999999999996</v>
      </c>
      <c r="H56" s="4">
        <f>G56*E56*D56</f>
        <v>14002.224</v>
      </c>
      <c r="I56" s="4">
        <f t="shared" ref="I56" si="7">H56*12</f>
        <v>168026.68799999999</v>
      </c>
      <c r="J56" s="16" t="s">
        <v>64</v>
      </c>
    </row>
    <row r="57" spans="2:10" x14ac:dyDescent="0.45">
      <c r="B57" s="12"/>
      <c r="C57" s="13"/>
      <c r="D57" s="12"/>
      <c r="E57" s="14"/>
      <c r="F57" s="13"/>
      <c r="G57" s="15"/>
      <c r="H57" s="4"/>
      <c r="I57" s="4"/>
      <c r="J57" s="16"/>
    </row>
    <row r="58" spans="2:10" x14ac:dyDescent="0.45">
      <c r="G58" s="10" t="s">
        <v>5</v>
      </c>
      <c r="H58" s="11">
        <f>(H56)</f>
        <v>14002.224</v>
      </c>
      <c r="I58" s="11">
        <f>(I56)</f>
        <v>168026.68799999999</v>
      </c>
    </row>
    <row r="60" spans="2:10" x14ac:dyDescent="0.45">
      <c r="B60" s="19" t="s">
        <v>70</v>
      </c>
    </row>
    <row r="62" spans="2:10" x14ac:dyDescent="0.45">
      <c r="B62" s="2"/>
      <c r="C62" s="7" t="s">
        <v>7</v>
      </c>
      <c r="D62" s="7"/>
      <c r="E62" s="7"/>
      <c r="F62" s="7"/>
      <c r="G62" s="7"/>
      <c r="H62" s="7"/>
      <c r="I62" s="7" t="s">
        <v>74</v>
      </c>
      <c r="J62" s="7" t="s">
        <v>14</v>
      </c>
    </row>
    <row r="63" spans="2:10" x14ac:dyDescent="0.45">
      <c r="B63" s="12"/>
      <c r="C63" s="13" t="s">
        <v>71</v>
      </c>
      <c r="D63" s="12"/>
      <c r="E63" s="14"/>
      <c r="F63" s="13"/>
      <c r="G63" s="15"/>
      <c r="H63" s="4"/>
      <c r="I63" s="4">
        <v>40000</v>
      </c>
      <c r="J63" s="16"/>
    </row>
    <row r="64" spans="2:10" x14ac:dyDescent="0.45">
      <c r="B64" s="12"/>
      <c r="C64" s="13" t="s">
        <v>72</v>
      </c>
      <c r="D64" s="12"/>
      <c r="E64" s="14"/>
      <c r="F64" s="13"/>
      <c r="G64" s="15"/>
      <c r="H64" s="4"/>
      <c r="I64" s="4">
        <v>45000</v>
      </c>
      <c r="J64" s="16"/>
    </row>
    <row r="65" spans="2:10" x14ac:dyDescent="0.45">
      <c r="B65" s="12"/>
      <c r="C65" s="13" t="s">
        <v>73</v>
      </c>
      <c r="D65" s="12"/>
      <c r="E65" s="14"/>
      <c r="F65" s="13"/>
      <c r="G65" s="15"/>
      <c r="H65" s="4"/>
      <c r="I65" s="4">
        <v>40000</v>
      </c>
      <c r="J65" s="16"/>
    </row>
    <row r="66" spans="2:10" x14ac:dyDescent="0.45">
      <c r="G66" s="10" t="s">
        <v>5</v>
      </c>
      <c r="H66" s="11"/>
      <c r="I66" s="11">
        <f>SUM(I63:I65)</f>
        <v>125000</v>
      </c>
    </row>
  </sheetData>
  <mergeCells count="1">
    <mergeCell ref="C11:D11"/>
  </mergeCells>
  <pageMargins left="0.7" right="0.7" top="0.75" bottom="0.75" header="0.3" footer="0.3"/>
  <pageSetup paperSize="9" orientation="portrait" r:id="rId1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Pearson ADA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Sharma</dc:creator>
  <cp:lastModifiedBy>Pankaj Sharma</cp:lastModifiedBy>
  <dcterms:created xsi:type="dcterms:W3CDTF">2021-11-22T16:22:14Z</dcterms:created>
  <dcterms:modified xsi:type="dcterms:W3CDTF">2025-08-14T15:58:07Z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65055-977f-4acd-9884-1bec8e5ad200_Enabled">
    <vt:lpwstr>true</vt:lpwstr>
  </property>
  <property fmtid="{D5CDD505-2E9C-101B-9397-08002B2CF9AE}" pid="3" name="MSIP_Label_56665055-977f-4acd-9884-1bec8e5ad200_SetDate">
    <vt:lpwstr>2025-05-24T11:14:20Z</vt:lpwstr>
  </property>
  <property fmtid="{D5CDD505-2E9C-101B-9397-08002B2CF9AE}" pid="4" name="MSIP_Label_56665055-977f-4acd-9884-1bec8e5ad200_Method">
    <vt:lpwstr>Standard</vt:lpwstr>
  </property>
  <property fmtid="{D5CDD505-2E9C-101B-9397-08002B2CF9AE}" pid="5" name="MSIP_Label_56665055-977f-4acd-9884-1bec8e5ad200_Name">
    <vt:lpwstr>Anyone ( Unrestricted )</vt:lpwstr>
  </property>
  <property fmtid="{D5CDD505-2E9C-101B-9397-08002B2CF9AE}" pid="6" name="MSIP_Label_56665055-977f-4acd-9884-1bec8e5ad200_SiteId">
    <vt:lpwstr>4e2c6054-71cb-48f1-bd6c-3a9705aca71b</vt:lpwstr>
  </property>
  <property fmtid="{D5CDD505-2E9C-101B-9397-08002B2CF9AE}" pid="7" name="MSIP_Label_56665055-977f-4acd-9884-1bec8e5ad200_ActionId">
    <vt:lpwstr>24cb3c6c-2339-4e4f-bbe4-fed7676bcd19</vt:lpwstr>
  </property>
  <property fmtid="{D5CDD505-2E9C-101B-9397-08002B2CF9AE}" pid="8" name="MSIP_Label_56665055-977f-4acd-9884-1bec8e5ad200_ContentBits">
    <vt:lpwstr>3</vt:lpwstr>
  </property>
</Properties>
</file>