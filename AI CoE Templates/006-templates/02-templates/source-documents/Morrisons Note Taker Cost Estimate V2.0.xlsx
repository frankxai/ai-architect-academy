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oracle-my.sharepoint.com/personal/pankaj_b_sharma_oracle_com/Documents/Documents/AI CoE/Customers/Morrisons/"/>
    </mc:Choice>
  </mc:AlternateContent>
  <xr:revisionPtr revIDLastSave="46" documentId="8_{5330C94D-1DBC-4874-BA20-4FD2D51E2522}" xr6:coauthVersionLast="47" xr6:coauthVersionMax="47" xr10:uidLastSave="{358355B7-0594-411D-930F-3A20E70FA04A}"/>
  <bookViews>
    <workbookView xWindow="-98" yWindow="-98" windowWidth="28996" windowHeight="15675" activeTab="1" xr2:uid="{00000000-000D-0000-FFFF-FFFF00000000}"/>
  </bookViews>
  <sheets>
    <sheet name="Morrisons Production" sheetId="1" r:id="rId1"/>
    <sheet name="Morrisons Pilot" sheetId="6" r:id="rId2"/>
    <sheet name="Morrisons Prod with DAC" sheetId="7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7" l="1"/>
  <c r="H28" i="7"/>
  <c r="I28" i="7" s="1"/>
  <c r="H27" i="7"/>
  <c r="I27" i="7" s="1"/>
  <c r="H26" i="7"/>
  <c r="I26" i="7" s="1"/>
  <c r="H25" i="7"/>
  <c r="I25" i="7" s="1"/>
  <c r="I24" i="7"/>
  <c r="H24" i="7"/>
  <c r="H23" i="7"/>
  <c r="I23" i="7" s="1"/>
  <c r="H22" i="7"/>
  <c r="I22" i="7" s="1"/>
  <c r="H21" i="7"/>
  <c r="I21" i="7" s="1"/>
  <c r="H20" i="7"/>
  <c r="I20" i="7" s="1"/>
  <c r="H19" i="7"/>
  <c r="I19" i="7" s="1"/>
  <c r="I18" i="7"/>
  <c r="H18" i="7"/>
  <c r="H17" i="7"/>
  <c r="I17" i="7" s="1"/>
  <c r="D11" i="7"/>
  <c r="H28" i="6"/>
  <c r="H27" i="6"/>
  <c r="H26" i="6"/>
  <c r="H25" i="6"/>
  <c r="H24" i="6"/>
  <c r="H23" i="6"/>
  <c r="H22" i="6"/>
  <c r="H21" i="6"/>
  <c r="H20" i="6"/>
  <c r="H19" i="6"/>
  <c r="H18" i="6"/>
  <c r="H17" i="6"/>
  <c r="H28" i="1"/>
  <c r="I28" i="1" s="1"/>
  <c r="I29" i="1" s="1"/>
  <c r="H29" i="1"/>
  <c r="H27" i="1"/>
  <c r="I27" i="1"/>
  <c r="H26" i="1"/>
  <c r="H25" i="1"/>
  <c r="I25" i="1"/>
  <c r="H22" i="1"/>
  <c r="I18" i="1"/>
  <c r="H18" i="1"/>
  <c r="H23" i="1"/>
  <c r="I23" i="1" s="1"/>
  <c r="I40" i="1"/>
  <c r="D11" i="1" s="1"/>
  <c r="H24" i="1"/>
  <c r="I24" i="1" s="1"/>
  <c r="I22" i="1"/>
  <c r="H21" i="1"/>
  <c r="I21" i="1" s="1"/>
  <c r="H20" i="1"/>
  <c r="H19" i="1"/>
  <c r="I19" i="1" s="1"/>
  <c r="I29" i="7" l="1"/>
  <c r="D7" i="7" s="1"/>
  <c r="D8" i="7" s="1"/>
  <c r="H29" i="7"/>
  <c r="C7" i="7" s="1"/>
  <c r="H29" i="6"/>
  <c r="C7" i="6" s="1"/>
  <c r="I26" i="1"/>
  <c r="I20" i="1" l="1"/>
  <c r="H17" i="1" l="1"/>
  <c r="I17" i="1" s="1"/>
  <c r="D7" i="1" l="1"/>
  <c r="C7" i="1" l="1"/>
  <c r="D8" i="1" l="1"/>
</calcChain>
</file>

<file path=xl/sharedStrings.xml><?xml version="1.0" encoding="utf-8"?>
<sst xmlns="http://schemas.openxmlformats.org/spreadsheetml/2006/main" count="222" uniqueCount="90">
  <si>
    <t>Overview</t>
  </si>
  <si>
    <t>Environment</t>
  </si>
  <si>
    <t>Monthly Cost</t>
  </si>
  <si>
    <t>Yearly Cost</t>
  </si>
  <si>
    <t>Production</t>
  </si>
  <si>
    <t>TOTAL</t>
  </si>
  <si>
    <t>Part No.</t>
  </si>
  <si>
    <t>Description</t>
  </si>
  <si>
    <t>Hours / month</t>
  </si>
  <si>
    <t>Qty of CPUs / Other</t>
  </si>
  <si>
    <t>Unit</t>
  </si>
  <si>
    <t>Unit Price</t>
  </si>
  <si>
    <t>List Price / Month</t>
  </si>
  <si>
    <t>Price / Year</t>
  </si>
  <si>
    <t>Comment</t>
  </si>
  <si>
    <t>Oracle Cloud Infrastructure - Object Storage</t>
  </si>
  <si>
    <t>Port Hour</t>
  </si>
  <si>
    <t>Gigabyte Storage per Month</t>
  </si>
  <si>
    <t>Oracle Cloud Infrstructrure - Fast Connect</t>
  </si>
  <si>
    <t>Per 10,000 Transactions</t>
  </si>
  <si>
    <t>Private Fast Connect (Optional)</t>
  </si>
  <si>
    <t>Service &amp; Deployment</t>
  </si>
  <si>
    <t>Service Cost</t>
  </si>
  <si>
    <t>One Time Cost</t>
  </si>
  <si>
    <t>Total First Year Cost</t>
  </si>
  <si>
    <t>Oracle Cloud Infrastructure - Integration Cloud Service - Standard</t>
  </si>
  <si>
    <t>5000 Msgs Per hour (1Msg Pack)</t>
  </si>
  <si>
    <t>OIC for Orchestration and Data ingestion</t>
  </si>
  <si>
    <t>Pilot Build</t>
  </si>
  <si>
    <t>Testing and Refinement</t>
  </si>
  <si>
    <t>Deployment and Hypercare</t>
  </si>
  <si>
    <t>Oracle Cloud Infrastructure - Gen AI Llama 4 or Grok</t>
  </si>
  <si>
    <t>Oracle Cloud Infrastructure - OCI Speech Service</t>
  </si>
  <si>
    <t>Oracle Cloud Infrastructure - Autnomous DB</t>
  </si>
  <si>
    <t>Oracle Cloud Infrastructure - Autnomous DB Storage</t>
  </si>
  <si>
    <t>Oracle Cloud Infrastructure - Compute Machine for any Code or OCI Functions</t>
  </si>
  <si>
    <t>Oracle Cloud Infrastructure - Compute Machine Memory</t>
  </si>
  <si>
    <t>Oracle Cloud Infrastructure - Block Volumes</t>
  </si>
  <si>
    <t>Oracle Cloud Infrastructure - Block Volume Performance Units</t>
  </si>
  <si>
    <t>ECPU Per Hour</t>
  </si>
  <si>
    <t>Storage per Month</t>
  </si>
  <si>
    <t>OCPU Per Hour</t>
  </si>
  <si>
    <t>Gigabyte Per Hour</t>
  </si>
  <si>
    <t>Staging DB</t>
  </si>
  <si>
    <t>DB Storage</t>
  </si>
  <si>
    <t>Oracle Cloud Infrastructure - Oracle Visual Builder</t>
  </si>
  <si>
    <t>Object Storage, backend Audio Storage</t>
  </si>
  <si>
    <t>Transcription Hour</t>
  </si>
  <si>
    <t>OCI Speech (2000 Hours of Transctiptions)</t>
  </si>
  <si>
    <t>VM Storage</t>
  </si>
  <si>
    <t>Volume perfomance units</t>
  </si>
  <si>
    <t>OCI E6 Machine or Functions</t>
  </si>
  <si>
    <t>OCI E6 Memory</t>
  </si>
  <si>
    <t>Visual Builder Application</t>
  </si>
  <si>
    <t>Performance units per month</t>
  </si>
  <si>
    <t>100M Monthly Transactions, xAI or Lllama</t>
  </si>
  <si>
    <t xml:space="preserve">Assumptions </t>
  </si>
  <si>
    <r>
      <t>OIC (Oracle Integration Cloud):</t>
    </r>
    <r>
      <rPr>
        <sz val="11"/>
        <color theme="1"/>
        <rFont val="Calibri"/>
        <family val="2"/>
        <scheme val="minor"/>
      </rPr>
      <t xml:space="preserve"> Planned for 7.5 million messages per month, with a throughput of approximately 10,000 messages per hour.</t>
    </r>
  </si>
  <si>
    <r>
      <t>Visual Builder:</t>
    </r>
    <r>
      <rPr>
        <sz val="11"/>
        <color theme="1"/>
        <rFont val="Calibri"/>
        <family val="2"/>
        <scheme val="minor"/>
      </rPr>
      <t xml:space="preserve"> Configured for a production-grade application.</t>
    </r>
  </si>
  <si>
    <r>
      <t>Object Storage:</t>
    </r>
    <r>
      <rPr>
        <sz val="11"/>
        <color theme="1"/>
        <rFont val="Calibri"/>
        <family val="2"/>
        <scheme val="minor"/>
      </rPr>
      <t xml:space="preserve"> Allocated 5TB for transcription storage, with provisions for archiving and implementing a storage lifecycle policy.</t>
    </r>
  </si>
  <si>
    <r>
      <t>Network Connectivity:</t>
    </r>
    <r>
      <rPr>
        <sz val="11"/>
        <color theme="1"/>
        <rFont val="Calibri"/>
        <family val="2"/>
        <scheme val="minor"/>
      </rPr>
      <t xml:space="preserve"> Assumes fast connection network infrastructure; last-mile connectivity to be handled by Morrisons.</t>
    </r>
  </si>
  <si>
    <r>
      <t>Autonomous Database:</t>
    </r>
    <r>
      <rPr>
        <sz val="11"/>
        <color theme="1"/>
        <rFont val="Calibri"/>
        <family val="2"/>
        <scheme val="minor"/>
      </rPr>
      <t xml:space="preserve"> Designated for staging, with Integration Cloud managing the population of relevant HCM subject areas.</t>
    </r>
  </si>
  <si>
    <r>
      <t>Compute/Functions:</t>
    </r>
    <r>
      <rPr>
        <sz val="11"/>
        <color theme="1"/>
        <rFont val="Calibri"/>
        <family val="2"/>
        <scheme val="minor"/>
      </rPr>
      <t xml:space="preserve"> VM E6 machines will be used for any Python-based scripting requirements.</t>
    </r>
  </si>
  <si>
    <r>
      <t>BoM Status:</t>
    </r>
    <r>
      <rPr>
        <sz val="11"/>
        <color theme="1"/>
        <rFont val="Calibri"/>
        <family val="2"/>
        <scheme val="minor"/>
      </rPr>
      <t xml:space="preserve"> This is a Rough Order of Magnitude (ROM) estimate and not a final BoM.</t>
    </r>
  </si>
  <si>
    <r>
      <t>Additional Costs:</t>
    </r>
    <r>
      <rPr>
        <sz val="11"/>
        <color theme="1"/>
        <rFont val="Calibri"/>
        <family val="2"/>
        <scheme val="minor"/>
      </rPr>
      <t xml:space="preserve"> Consulting, implementation, and deployment costs are to be considered separately.</t>
    </r>
  </si>
  <si>
    <t>Oracle Integration Cloud (OIC): Configured for 750,000 to 1.5 million messages per month (10-20% of 7.5M), with a throughput of approximately 1,000 to 2,000 messages per hour.</t>
  </si>
  <si>
    <t>Visual Builder: Set up for a lightweight, non-production-grade application to demonstrate core functionality.</t>
  </si>
  <si>
    <t>OCI Gen AI Services: Utilizes a token-based AI LLM model, sized for 10 to 20 million characters per month (10-20% of 100M), equivalent to roughly 2.5 to 5 million tokens.</t>
  </si>
  <si>
    <t>Autonomous Database: Used for limited staging purposes, with Integration Cloud handling minimal data population for HCM subject areas relevant to the PoC.</t>
  </si>
  <si>
    <t>Compute/Functions: VM E6 machines (or smaller instances) allocated for Python-based scripting, scaled for PoC requirements.</t>
  </si>
  <si>
    <t>PoC Scope: This is a preliminary estimate for PoC purposes, not a final BoM, and focuses on validating key functionalities.</t>
  </si>
  <si>
    <t>Additional Costs: Consulting, implementation, and deployment costs for the PoC are to be considered separately, with reduced scope compared to full deployment</t>
  </si>
  <si>
    <t>Object Storage: Allocated 500GB to 1TB for transcription storage (10-20% of 5TB)</t>
  </si>
  <si>
    <t>Network Connectivity: Assumes adequate network connectivity for testing;</t>
  </si>
  <si>
    <t>10M Monthly Transactions, xAI or Lllama</t>
  </si>
  <si>
    <t>OCI Speech (20-25 Hours of Transctiptions)</t>
  </si>
  <si>
    <t>API Gateway, WAF, LBs will be part of production environment or will be used for testing purpose</t>
  </si>
  <si>
    <t>API Gateway, WAF, LBs will be part of production environment will include in the final BoM</t>
  </si>
  <si>
    <t>AI Unit Per Hour</t>
  </si>
  <si>
    <t>Dedicated Gen AI Cluster with Llama Scout</t>
  </si>
  <si>
    <r>
      <t>OIC (Oracle Integration Cloud):</t>
    </r>
    <r>
      <rPr>
        <sz val="9"/>
        <color theme="1"/>
        <rFont val="Calibri"/>
        <family val="2"/>
        <scheme val="minor"/>
      </rPr>
      <t xml:space="preserve"> Planned for 7.5 million messages per month, with a throughput of approximately 10,000 messages per hour.</t>
    </r>
  </si>
  <si>
    <r>
      <t>Visual Builder:</t>
    </r>
    <r>
      <rPr>
        <sz val="9"/>
        <color theme="1"/>
        <rFont val="Calibri"/>
        <family val="2"/>
        <scheme val="minor"/>
      </rPr>
      <t xml:space="preserve"> Configured for a production-grade application.</t>
    </r>
  </si>
  <si>
    <r>
      <t>Object Storage:</t>
    </r>
    <r>
      <rPr>
        <sz val="9"/>
        <color theme="1"/>
        <rFont val="Calibri"/>
        <family val="2"/>
        <scheme val="minor"/>
      </rPr>
      <t xml:space="preserve"> Allocated 5TB for transcription storage, with provisions for archiving and implementing a storage lifecycle policy.</t>
    </r>
  </si>
  <si>
    <r>
      <t>Network Connectivity:</t>
    </r>
    <r>
      <rPr>
        <sz val="9"/>
        <color theme="1"/>
        <rFont val="Calibri"/>
        <family val="2"/>
        <scheme val="minor"/>
      </rPr>
      <t xml:space="preserve"> Assumes fast connection network infrastructure; last-mile connectivity to be handled by Morrisons.</t>
    </r>
  </si>
  <si>
    <r>
      <t>OCI Gen AI Services:</t>
    </r>
    <r>
      <rPr>
        <sz val="9"/>
        <color theme="1"/>
        <rFont val="Calibri"/>
        <family val="2"/>
        <scheme val="minor"/>
      </rPr>
      <t xml:space="preserve"> Utilizes a token-based AI LLM model, sized for 100 million characters per month, equivalent to roughly 25 million tokens.</t>
    </r>
  </si>
  <si>
    <r>
      <t>Autonomous Database:</t>
    </r>
    <r>
      <rPr>
        <sz val="9"/>
        <color theme="1"/>
        <rFont val="Calibri"/>
        <family val="2"/>
        <scheme val="minor"/>
      </rPr>
      <t xml:space="preserve"> Designated for staging, with Integration Cloud managing the population of relevant HCM subject areas.</t>
    </r>
  </si>
  <si>
    <r>
      <t>Compute/Functions:</t>
    </r>
    <r>
      <rPr>
        <sz val="9"/>
        <color theme="1"/>
        <rFont val="Calibri"/>
        <family val="2"/>
        <scheme val="minor"/>
      </rPr>
      <t xml:space="preserve"> VM E6 machines will be used for any Python-based scripting requirements.</t>
    </r>
  </si>
  <si>
    <r>
      <t>BoM Status:</t>
    </r>
    <r>
      <rPr>
        <sz val="9"/>
        <color theme="1"/>
        <rFont val="Calibri"/>
        <family val="2"/>
        <scheme val="minor"/>
      </rPr>
      <t xml:space="preserve"> This is a Rough Order of Magnitude (ROM) estimate and not a final BoM.</t>
    </r>
  </si>
  <si>
    <r>
      <t>Additional Costs:</t>
    </r>
    <r>
      <rPr>
        <sz val="9"/>
        <color theme="1"/>
        <rFont val="Calibri"/>
        <family val="2"/>
        <scheme val="minor"/>
      </rPr>
      <t xml:space="preserve"> Consulting, implementation, and deployment costs are to be considered separately.</t>
    </r>
  </si>
  <si>
    <r>
      <t>OCI Gen AI Services:</t>
    </r>
    <r>
      <rPr>
        <sz val="11"/>
        <color theme="1"/>
        <rFont val="Calibri"/>
        <family val="2"/>
        <scheme val="minor"/>
      </rPr>
      <t xml:space="preserve"> Utilizes a Dedicated Cluster for high performance and acting as foundation services for other AI use cases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</si>
</sst>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"/>
    <numFmt numFmtId="165" formatCode="[$$-409]#,##0.00"/>
    <numFmt numFmtId="166" formatCode="[$£-809]#,##0.0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theme="9" tint="0.7999816888943144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4" fillId="0" borderId="0" xfId="0" applyFont="1" applyFill="1"/>
    <xf numFmtId="0" fontId="4" fillId="0" borderId="0" xfId="0" applyFont="1"/>
    <xf numFmtId="164" fontId="4" fillId="0" borderId="0" xfId="0" applyNumberFormat="1" applyFont="1"/>
    <xf numFmtId="165" fontId="3" fillId="2" borderId="1" xfId="0" applyNumberFormat="1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2" fillId="2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/>
    <xf numFmtId="165" fontId="5" fillId="0" borderId="0" xfId="0" applyNumberFormat="1" applyFont="1" applyAlignment="1">
      <alignment horizontal="center" vertical="center"/>
    </xf>
    <xf numFmtId="165" fontId="0" fillId="0" borderId="6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 wrapText="1"/>
    </xf>
    <xf numFmtId="166" fontId="2" fillId="3" borderId="4" xfId="0" applyNumberFormat="1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54"/>
  <sheetViews>
    <sheetView topLeftCell="A22" workbookViewId="0">
      <selection activeCell="F43" sqref="F43"/>
    </sheetView>
  </sheetViews>
  <sheetFormatPr defaultColWidth="8.796875" defaultRowHeight="14.25" x14ac:dyDescent="0.45"/>
  <cols>
    <col min="2" max="2" width="17.86328125" customWidth="1"/>
    <col min="3" max="3" width="67.33203125" bestFit="1" customWidth="1"/>
    <col min="4" max="4" width="14.06640625" customWidth="1"/>
    <col min="6" max="6" width="29.59765625" bestFit="1" customWidth="1"/>
    <col min="8" max="8" width="9.1328125" customWidth="1"/>
    <col min="9" max="9" width="14.9296875" customWidth="1"/>
    <col min="10" max="10" width="34.33203125" customWidth="1"/>
  </cols>
  <sheetData>
    <row r="2" spans="2:10" x14ac:dyDescent="0.45">
      <c r="G2" s="12"/>
      <c r="H2" s="12"/>
    </row>
    <row r="4" spans="2:10" ht="15.75" x14ac:dyDescent="0.5">
      <c r="B4" s="1" t="s">
        <v>0</v>
      </c>
    </row>
    <row r="6" spans="2:10" x14ac:dyDescent="0.45">
      <c r="B6" s="2" t="s">
        <v>1</v>
      </c>
      <c r="C6" s="16" t="s">
        <v>2</v>
      </c>
      <c r="D6" s="16" t="s">
        <v>3</v>
      </c>
    </row>
    <row r="7" spans="2:10" ht="16.05" customHeight="1" x14ac:dyDescent="0.45">
      <c r="B7" s="2" t="s">
        <v>4</v>
      </c>
      <c r="C7" s="25">
        <f>H29</f>
        <v>6391.5408000000007</v>
      </c>
      <c r="D7" s="25">
        <f>I29</f>
        <v>76698.489600000001</v>
      </c>
    </row>
    <row r="8" spans="2:10" x14ac:dyDescent="0.45">
      <c r="B8" s="4" t="s">
        <v>5</v>
      </c>
      <c r="C8" s="26"/>
      <c r="D8" s="26">
        <f>SUM(D7:D7)</f>
        <v>76698.489600000001</v>
      </c>
    </row>
    <row r="9" spans="2:10" x14ac:dyDescent="0.45">
      <c r="C9" s="19"/>
      <c r="D9" s="19"/>
    </row>
    <row r="10" spans="2:10" x14ac:dyDescent="0.45">
      <c r="C10" s="23" t="s">
        <v>23</v>
      </c>
      <c r="D10" s="23"/>
    </row>
    <row r="11" spans="2:10" x14ac:dyDescent="0.45">
      <c r="B11" s="3" t="s">
        <v>21</v>
      </c>
      <c r="C11" s="16"/>
      <c r="D11" s="16">
        <f>(I40)</f>
        <v>0</v>
      </c>
    </row>
    <row r="12" spans="2:10" ht="15.75" x14ac:dyDescent="0.5">
      <c r="B12" s="1"/>
      <c r="C12" s="21" t="s">
        <v>24</v>
      </c>
      <c r="D12" s="22"/>
    </row>
    <row r="13" spans="2:10" ht="15.75" x14ac:dyDescent="0.5">
      <c r="B13" s="1"/>
      <c r="D13" s="14"/>
    </row>
    <row r="14" spans="2:10" ht="15.75" x14ac:dyDescent="0.5">
      <c r="B14" s="1" t="s">
        <v>4</v>
      </c>
    </row>
    <row r="16" spans="2:10" ht="39.4" x14ac:dyDescent="0.45">
      <c r="B16" s="2" t="s">
        <v>6</v>
      </c>
      <c r="C16" s="2" t="s">
        <v>7</v>
      </c>
      <c r="D16" s="2" t="s">
        <v>8</v>
      </c>
      <c r="E16" s="2" t="s">
        <v>9</v>
      </c>
      <c r="F16" s="2" t="s">
        <v>10</v>
      </c>
      <c r="G16" s="2" t="s">
        <v>11</v>
      </c>
      <c r="H16" s="2" t="s">
        <v>12</v>
      </c>
      <c r="I16" s="2" t="s">
        <v>13</v>
      </c>
      <c r="J16" s="2" t="s">
        <v>14</v>
      </c>
    </row>
    <row r="17" spans="2:12" x14ac:dyDescent="0.45">
      <c r="B17" s="7"/>
      <c r="C17" s="8" t="s">
        <v>25</v>
      </c>
      <c r="D17" s="7">
        <v>730.5</v>
      </c>
      <c r="E17" s="9">
        <v>2</v>
      </c>
      <c r="F17" s="8" t="s">
        <v>26</v>
      </c>
      <c r="G17" s="27">
        <v>0.51529999999999998</v>
      </c>
      <c r="H17" s="25">
        <f>G17*E17*D17</f>
        <v>752.85329999999999</v>
      </c>
      <c r="I17" s="25">
        <f>H17*12</f>
        <v>9034.2396000000008</v>
      </c>
      <c r="J17" s="10" t="s">
        <v>27</v>
      </c>
      <c r="L17" s="6"/>
    </row>
    <row r="18" spans="2:12" x14ac:dyDescent="0.45">
      <c r="B18" s="7"/>
      <c r="C18" s="8" t="s">
        <v>45</v>
      </c>
      <c r="D18" s="7">
        <v>730.5</v>
      </c>
      <c r="E18" s="9">
        <v>4</v>
      </c>
      <c r="F18" s="8" t="s">
        <v>41</v>
      </c>
      <c r="G18" s="27">
        <v>0.98750000000000004</v>
      </c>
      <c r="H18" s="25">
        <f>(G18*E18*D18)</f>
        <v>2885.4749999999999</v>
      </c>
      <c r="I18" s="25">
        <f>(H18*12)</f>
        <v>34625.699999999997</v>
      </c>
      <c r="J18" s="10" t="s">
        <v>53</v>
      </c>
      <c r="L18" s="6"/>
    </row>
    <row r="19" spans="2:12" x14ac:dyDescent="0.45">
      <c r="B19" s="7"/>
      <c r="C19" s="8" t="s">
        <v>15</v>
      </c>
      <c r="D19" s="7">
        <v>1</v>
      </c>
      <c r="E19" s="9">
        <v>5000</v>
      </c>
      <c r="F19" s="8" t="s">
        <v>17</v>
      </c>
      <c r="G19" s="27">
        <v>2.0299999999999999E-2</v>
      </c>
      <c r="H19" s="25">
        <f>(G19*E19)</f>
        <v>101.5</v>
      </c>
      <c r="I19" s="25">
        <f>(H19*12)</f>
        <v>1218</v>
      </c>
      <c r="J19" s="10" t="s">
        <v>46</v>
      </c>
    </row>
    <row r="20" spans="2:12" x14ac:dyDescent="0.45">
      <c r="B20" s="7"/>
      <c r="C20" s="8" t="s">
        <v>18</v>
      </c>
      <c r="D20" s="7">
        <v>730.5</v>
      </c>
      <c r="E20" s="9">
        <v>2</v>
      </c>
      <c r="F20" s="8" t="s">
        <v>16</v>
      </c>
      <c r="G20" s="27">
        <v>0.16969999999999999</v>
      </c>
      <c r="H20" s="25">
        <f>(G20*E20*D20)</f>
        <v>247.93169999999998</v>
      </c>
      <c r="I20" s="25">
        <f>H20*12</f>
        <v>2975.1803999999997</v>
      </c>
      <c r="J20" s="11" t="s">
        <v>20</v>
      </c>
    </row>
    <row r="21" spans="2:12" x14ac:dyDescent="0.45">
      <c r="B21" s="7"/>
      <c r="C21" s="8" t="s">
        <v>31</v>
      </c>
      <c r="D21" s="7">
        <v>1</v>
      </c>
      <c r="E21" s="9">
        <v>10000</v>
      </c>
      <c r="F21" s="8" t="s">
        <v>19</v>
      </c>
      <c r="G21" s="27">
        <v>3.0000000000000001E-3</v>
      </c>
      <c r="H21" s="25">
        <f>(G21*E21*D21)</f>
        <v>30</v>
      </c>
      <c r="I21" s="25">
        <f>(H21*12)</f>
        <v>360</v>
      </c>
      <c r="J21" s="10" t="s">
        <v>55</v>
      </c>
    </row>
    <row r="22" spans="2:12" x14ac:dyDescent="0.45">
      <c r="B22" s="7"/>
      <c r="C22" s="8" t="s">
        <v>32</v>
      </c>
      <c r="D22" s="7">
        <v>1</v>
      </c>
      <c r="E22" s="9">
        <v>2000</v>
      </c>
      <c r="F22" s="8" t="s">
        <v>47</v>
      </c>
      <c r="G22" s="27">
        <v>0.27950000000000003</v>
      </c>
      <c r="H22" s="25">
        <f>(G22*E22*D22)</f>
        <v>559</v>
      </c>
      <c r="I22" s="25">
        <f>(H22*12)</f>
        <v>6708</v>
      </c>
      <c r="J22" s="10" t="s">
        <v>48</v>
      </c>
    </row>
    <row r="23" spans="2:12" x14ac:dyDescent="0.45">
      <c r="B23" s="7"/>
      <c r="C23" s="8" t="s">
        <v>33</v>
      </c>
      <c r="D23" s="7">
        <v>730.5</v>
      </c>
      <c r="E23" s="9">
        <v>8</v>
      </c>
      <c r="F23" s="8" t="s">
        <v>39</v>
      </c>
      <c r="G23" s="27">
        <v>0.26829999999999998</v>
      </c>
      <c r="H23" s="25">
        <f>(G23*E23*D23)</f>
        <v>1567.9451999999999</v>
      </c>
      <c r="I23" s="25">
        <f>(H23*12)</f>
        <v>18815.342399999998</v>
      </c>
      <c r="J23" s="10" t="s">
        <v>43</v>
      </c>
    </row>
    <row r="24" spans="2:12" x14ac:dyDescent="0.45">
      <c r="B24" s="7"/>
      <c r="C24" s="8" t="s">
        <v>34</v>
      </c>
      <c r="D24" s="7">
        <v>1</v>
      </c>
      <c r="E24" s="9">
        <v>2000</v>
      </c>
      <c r="F24" s="8" t="s">
        <v>40</v>
      </c>
      <c r="G24" s="27">
        <v>1.9400000000000001E-2</v>
      </c>
      <c r="H24" s="25">
        <f>(G24*E24*D24)</f>
        <v>38.800000000000004</v>
      </c>
      <c r="I24" s="25">
        <f>(H24*12)</f>
        <v>465.6</v>
      </c>
      <c r="J24" s="10" t="s">
        <v>44</v>
      </c>
    </row>
    <row r="25" spans="2:12" x14ac:dyDescent="0.45">
      <c r="B25" s="7"/>
      <c r="C25" s="8" t="s">
        <v>35</v>
      </c>
      <c r="D25" s="7">
        <v>730.5</v>
      </c>
      <c r="E25" s="9">
        <v>8</v>
      </c>
      <c r="F25" s="8" t="s">
        <v>41</v>
      </c>
      <c r="G25" s="27">
        <v>2.3900000000000001E-2</v>
      </c>
      <c r="H25" s="25">
        <f>(G25*E25*D25)</f>
        <v>139.67160000000001</v>
      </c>
      <c r="I25" s="25">
        <f>(H25*12)</f>
        <v>1676.0592000000001</v>
      </c>
      <c r="J25" s="10" t="s">
        <v>51</v>
      </c>
    </row>
    <row r="26" spans="2:12" x14ac:dyDescent="0.45">
      <c r="B26" s="7"/>
      <c r="C26" s="8" t="s">
        <v>36</v>
      </c>
      <c r="D26" s="7">
        <v>730.5</v>
      </c>
      <c r="E26" s="9">
        <v>32</v>
      </c>
      <c r="F26" s="8" t="s">
        <v>42</v>
      </c>
      <c r="G26" s="27">
        <v>1.5E-3</v>
      </c>
      <c r="H26" s="25">
        <f>(G26*E26*D26)</f>
        <v>35.064</v>
      </c>
      <c r="I26" s="25">
        <f>(H26*12)</f>
        <v>420.76800000000003</v>
      </c>
      <c r="J26" s="10" t="s">
        <v>52</v>
      </c>
    </row>
    <row r="27" spans="2:12" x14ac:dyDescent="0.45">
      <c r="B27" s="7"/>
      <c r="C27" s="8" t="s">
        <v>37</v>
      </c>
      <c r="D27" s="7">
        <v>1</v>
      </c>
      <c r="E27" s="9">
        <v>1000</v>
      </c>
      <c r="F27" s="8" t="s">
        <v>17</v>
      </c>
      <c r="G27" s="27">
        <v>2.0299999999999999E-2</v>
      </c>
      <c r="H27" s="25">
        <f>(G27*E27*D27)</f>
        <v>20.299999999999997</v>
      </c>
      <c r="I27" s="25">
        <f>(H27*12)</f>
        <v>243.59999999999997</v>
      </c>
      <c r="J27" s="10" t="s">
        <v>49</v>
      </c>
    </row>
    <row r="28" spans="2:12" x14ac:dyDescent="0.45">
      <c r="B28" s="7"/>
      <c r="C28" s="8" t="s">
        <v>38</v>
      </c>
      <c r="D28" s="7">
        <v>1</v>
      </c>
      <c r="E28" s="9">
        <v>10000</v>
      </c>
      <c r="F28" s="8" t="s">
        <v>54</v>
      </c>
      <c r="G28" s="27">
        <v>1.2999999999999999E-3</v>
      </c>
      <c r="H28" s="25">
        <f>(G28*E28*D28)</f>
        <v>13</v>
      </c>
      <c r="I28" s="25">
        <f>(H28*12)</f>
        <v>156</v>
      </c>
      <c r="J28" s="10" t="s">
        <v>50</v>
      </c>
    </row>
    <row r="29" spans="2:12" x14ac:dyDescent="0.45">
      <c r="G29" s="28" t="s">
        <v>5</v>
      </c>
      <c r="H29" s="29">
        <f>SUM(H17:H28)</f>
        <v>6391.5408000000007</v>
      </c>
      <c r="I29" s="29">
        <f>SUM(I17:I28)</f>
        <v>76698.489600000001</v>
      </c>
    </row>
    <row r="30" spans="2:12" x14ac:dyDescent="0.45">
      <c r="G30" s="19"/>
      <c r="H30" s="19"/>
      <c r="I30" s="19"/>
    </row>
    <row r="31" spans="2:12" x14ac:dyDescent="0.45">
      <c r="G31" s="19"/>
      <c r="H31" s="19"/>
      <c r="I31" s="19"/>
    </row>
    <row r="32" spans="2:12" x14ac:dyDescent="0.45">
      <c r="G32" s="19"/>
      <c r="H32" s="19"/>
      <c r="I32" s="19"/>
    </row>
    <row r="33" spans="2:10" x14ac:dyDescent="0.45">
      <c r="G33" s="19"/>
      <c r="H33" s="19"/>
      <c r="I33" s="19"/>
    </row>
    <row r="34" spans="2:10" x14ac:dyDescent="0.45">
      <c r="B34" s="13" t="s">
        <v>22</v>
      </c>
      <c r="G34" s="19"/>
      <c r="H34" s="19"/>
      <c r="I34" s="19"/>
    </row>
    <row r="35" spans="2:10" x14ac:dyDescent="0.45">
      <c r="G35" s="19"/>
      <c r="H35" s="19"/>
      <c r="I35" s="19"/>
    </row>
    <row r="36" spans="2:10" x14ac:dyDescent="0.45">
      <c r="B36" s="2"/>
      <c r="C36" s="5" t="s">
        <v>7</v>
      </c>
      <c r="D36" s="5"/>
      <c r="E36" s="5"/>
      <c r="F36" s="5"/>
      <c r="G36" s="20"/>
      <c r="H36" s="20"/>
      <c r="I36" s="20" t="s">
        <v>23</v>
      </c>
      <c r="J36" s="5" t="s">
        <v>14</v>
      </c>
    </row>
    <row r="37" spans="2:10" x14ac:dyDescent="0.45">
      <c r="B37" s="7"/>
      <c r="C37" s="8" t="s">
        <v>28</v>
      </c>
      <c r="D37" s="7"/>
      <c r="E37" s="9"/>
      <c r="F37" s="8"/>
      <c r="G37" s="15"/>
      <c r="H37" s="16"/>
      <c r="I37" s="16"/>
      <c r="J37" s="10"/>
    </row>
    <row r="38" spans="2:10" x14ac:dyDescent="0.45">
      <c r="B38" s="7"/>
      <c r="C38" s="8" t="s">
        <v>29</v>
      </c>
      <c r="D38" s="7"/>
      <c r="E38" s="9"/>
      <c r="F38" s="8"/>
      <c r="G38" s="15"/>
      <c r="H38" s="16"/>
      <c r="I38" s="16"/>
      <c r="J38" s="10"/>
    </row>
    <row r="39" spans="2:10" x14ac:dyDescent="0.45">
      <c r="B39" s="7"/>
      <c r="C39" s="8" t="s">
        <v>30</v>
      </c>
      <c r="D39" s="7"/>
      <c r="E39" s="9"/>
      <c r="F39" s="8"/>
      <c r="G39" s="15"/>
      <c r="H39" s="16"/>
      <c r="I39" s="16"/>
      <c r="J39" s="10"/>
    </row>
    <row r="40" spans="2:10" x14ac:dyDescent="0.45">
      <c r="G40" s="17" t="s">
        <v>5</v>
      </c>
      <c r="H40" s="18"/>
      <c r="I40" s="18">
        <f>SUM(I37:I39)</f>
        <v>0</v>
      </c>
    </row>
    <row r="41" spans="2:10" x14ac:dyDescent="0.45">
      <c r="G41" s="19"/>
      <c r="H41" s="19"/>
      <c r="I41" s="19"/>
    </row>
    <row r="45" spans="2:10" x14ac:dyDescent="0.45">
      <c r="B45" s="32" t="s">
        <v>56</v>
      </c>
      <c r="C45" s="33" t="s">
        <v>80</v>
      </c>
      <c r="D45" s="32"/>
      <c r="E45" s="32"/>
      <c r="F45" s="32"/>
    </row>
    <row r="46" spans="2:10" x14ac:dyDescent="0.45">
      <c r="B46" s="32"/>
      <c r="C46" s="33" t="s">
        <v>81</v>
      </c>
      <c r="D46" s="32"/>
      <c r="E46" s="32"/>
      <c r="F46" s="32"/>
    </row>
    <row r="47" spans="2:10" x14ac:dyDescent="0.45">
      <c r="B47" s="32"/>
      <c r="C47" s="33" t="s">
        <v>82</v>
      </c>
      <c r="D47" s="32"/>
      <c r="E47" s="32"/>
      <c r="F47" s="32"/>
    </row>
    <row r="48" spans="2:10" x14ac:dyDescent="0.45">
      <c r="B48" s="32"/>
      <c r="C48" s="33" t="s">
        <v>83</v>
      </c>
      <c r="D48" s="32"/>
      <c r="E48" s="32"/>
      <c r="F48" s="32"/>
    </row>
    <row r="49" spans="2:6" x14ac:dyDescent="0.45">
      <c r="B49" s="32"/>
      <c r="C49" s="33" t="s">
        <v>84</v>
      </c>
      <c r="D49" s="32"/>
      <c r="E49" s="32"/>
      <c r="F49" s="32"/>
    </row>
    <row r="50" spans="2:6" x14ac:dyDescent="0.45">
      <c r="B50" s="32"/>
      <c r="C50" s="33" t="s">
        <v>85</v>
      </c>
      <c r="D50" s="32"/>
      <c r="E50" s="32"/>
      <c r="F50" s="32"/>
    </row>
    <row r="51" spans="2:6" x14ac:dyDescent="0.45">
      <c r="B51" s="32"/>
      <c r="C51" s="33" t="s">
        <v>86</v>
      </c>
      <c r="D51" s="32"/>
      <c r="E51" s="32"/>
      <c r="F51" s="32"/>
    </row>
    <row r="52" spans="2:6" x14ac:dyDescent="0.45">
      <c r="B52" s="32"/>
      <c r="C52" s="33" t="s">
        <v>87</v>
      </c>
      <c r="D52" s="32"/>
      <c r="E52" s="32"/>
      <c r="F52" s="32"/>
    </row>
    <row r="53" spans="2:6" x14ac:dyDescent="0.45">
      <c r="B53" s="32"/>
      <c r="C53" s="33" t="s">
        <v>88</v>
      </c>
      <c r="D53" s="32"/>
      <c r="E53" s="32"/>
      <c r="F53" s="32"/>
    </row>
    <row r="54" spans="2:6" x14ac:dyDescent="0.45">
      <c r="B54" s="32"/>
      <c r="C54" s="32" t="s">
        <v>77</v>
      </c>
      <c r="D54" s="32"/>
      <c r="E54" s="32"/>
      <c r="F54" s="32"/>
    </row>
  </sheetData>
  <mergeCells count="1">
    <mergeCell ref="C10:D10"/>
  </mergeCells>
  <pageMargins left="0.7" right="0.7" top="0.75" bottom="0.75" header="0.3" footer="0.3"/>
  <pageSetup paperSize="9" orientation="portrait" r:id="rId1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6791-C9F6-423B-B572-B4AC034BD1D0}">
  <dimension ref="B2:K54"/>
  <sheetViews>
    <sheetView tabSelected="1" workbookViewId="0">
      <selection activeCell="F24" sqref="F24"/>
    </sheetView>
  </sheetViews>
  <sheetFormatPr defaultColWidth="8.796875" defaultRowHeight="14.25" x14ac:dyDescent="0.45"/>
  <cols>
    <col min="2" max="2" width="17.86328125" customWidth="1"/>
    <col min="3" max="3" width="67.33203125" bestFit="1" customWidth="1"/>
    <col min="4" max="4" width="14.06640625" customWidth="1"/>
    <col min="6" max="6" width="29.59765625" bestFit="1" customWidth="1"/>
    <col min="8" max="8" width="9.1328125" customWidth="1"/>
    <col min="9" max="9" width="34.33203125" customWidth="1"/>
  </cols>
  <sheetData>
    <row r="2" spans="2:9" x14ac:dyDescent="0.45">
      <c r="G2" s="12"/>
      <c r="H2" s="12"/>
    </row>
    <row r="4" spans="2:9" ht="15.75" x14ac:dyDescent="0.5">
      <c r="B4" s="1" t="s">
        <v>0</v>
      </c>
    </row>
    <row r="6" spans="2:9" x14ac:dyDescent="0.45">
      <c r="B6" s="2" t="s">
        <v>1</v>
      </c>
      <c r="C6" s="16" t="s">
        <v>2</v>
      </c>
    </row>
    <row r="7" spans="2:9" ht="16.05" customHeight="1" x14ac:dyDescent="0.45">
      <c r="B7" s="2" t="s">
        <v>4</v>
      </c>
      <c r="C7" s="25">
        <f>H29</f>
        <v>2487.4241000000002</v>
      </c>
    </row>
    <row r="8" spans="2:9" x14ac:dyDescent="0.45">
      <c r="B8" s="4" t="s">
        <v>5</v>
      </c>
      <c r="C8" s="26"/>
    </row>
    <row r="9" spans="2:9" x14ac:dyDescent="0.45">
      <c r="C9" s="19"/>
    </row>
    <row r="10" spans="2:9" x14ac:dyDescent="0.45">
      <c r="C10" s="23" t="s">
        <v>23</v>
      </c>
      <c r="D10" s="24"/>
    </row>
    <row r="11" spans="2:9" x14ac:dyDescent="0.45">
      <c r="B11" s="3" t="s">
        <v>21</v>
      </c>
      <c r="C11" s="16"/>
      <c r="D11" s="31"/>
    </row>
    <row r="12" spans="2:9" ht="15.75" x14ac:dyDescent="0.5">
      <c r="B12" s="1"/>
      <c r="C12" s="21" t="s">
        <v>24</v>
      </c>
      <c r="D12" s="22"/>
    </row>
    <row r="13" spans="2:9" ht="15.75" x14ac:dyDescent="0.5">
      <c r="B13" s="1"/>
      <c r="D13" s="14"/>
    </row>
    <row r="14" spans="2:9" ht="15.75" x14ac:dyDescent="0.5">
      <c r="B14" s="1" t="s">
        <v>4</v>
      </c>
    </row>
    <row r="16" spans="2:9" ht="39.4" x14ac:dyDescent="0.45">
      <c r="B16" s="2" t="s">
        <v>6</v>
      </c>
      <c r="C16" s="2" t="s">
        <v>7</v>
      </c>
      <c r="D16" s="2" t="s">
        <v>8</v>
      </c>
      <c r="E16" s="2" t="s">
        <v>9</v>
      </c>
      <c r="F16" s="2" t="s">
        <v>10</v>
      </c>
      <c r="G16" s="2" t="s">
        <v>11</v>
      </c>
      <c r="H16" s="2" t="s">
        <v>12</v>
      </c>
      <c r="I16" s="2" t="s">
        <v>14</v>
      </c>
    </row>
    <row r="17" spans="2:11" x14ac:dyDescent="0.45">
      <c r="B17" s="7"/>
      <c r="C17" s="8" t="s">
        <v>25</v>
      </c>
      <c r="D17" s="7">
        <v>730.5</v>
      </c>
      <c r="E17" s="9">
        <v>1</v>
      </c>
      <c r="F17" s="8" t="s">
        <v>26</v>
      </c>
      <c r="G17" s="27">
        <v>0.51529999999999998</v>
      </c>
      <c r="H17" s="25">
        <f>G17*E17*D17</f>
        <v>376.42665</v>
      </c>
      <c r="I17" s="10" t="s">
        <v>27</v>
      </c>
      <c r="K17" s="6"/>
    </row>
    <row r="18" spans="2:11" x14ac:dyDescent="0.45">
      <c r="B18" s="7"/>
      <c r="C18" s="8" t="s">
        <v>45</v>
      </c>
      <c r="D18" s="7">
        <v>730.5</v>
      </c>
      <c r="E18" s="9">
        <v>2</v>
      </c>
      <c r="F18" s="8" t="s">
        <v>41</v>
      </c>
      <c r="G18" s="27">
        <v>0.98750000000000004</v>
      </c>
      <c r="H18" s="25">
        <f>(G18*E18*D18)</f>
        <v>1442.7375</v>
      </c>
      <c r="I18" s="10" t="s">
        <v>53</v>
      </c>
      <c r="K18" s="6"/>
    </row>
    <row r="19" spans="2:11" x14ac:dyDescent="0.45">
      <c r="B19" s="7"/>
      <c r="C19" s="8" t="s">
        <v>15</v>
      </c>
      <c r="D19" s="7">
        <v>1</v>
      </c>
      <c r="E19" s="9">
        <v>1000</v>
      </c>
      <c r="F19" s="8" t="s">
        <v>17</v>
      </c>
      <c r="G19" s="27">
        <v>2.0299999999999999E-2</v>
      </c>
      <c r="H19" s="25">
        <f>(G19*E19)</f>
        <v>20.299999999999997</v>
      </c>
      <c r="I19" s="10" t="s">
        <v>46</v>
      </c>
    </row>
    <row r="20" spans="2:11" x14ac:dyDescent="0.45">
      <c r="B20" s="7"/>
      <c r="C20" s="8" t="s">
        <v>18</v>
      </c>
      <c r="D20" s="7">
        <v>730.5</v>
      </c>
      <c r="E20" s="9">
        <v>1</v>
      </c>
      <c r="F20" s="8" t="s">
        <v>16</v>
      </c>
      <c r="G20" s="27">
        <v>0.16969999999999999</v>
      </c>
      <c r="H20" s="25">
        <f>(G20*E20*D20)</f>
        <v>123.96584999999999</v>
      </c>
      <c r="I20" s="11" t="s">
        <v>20</v>
      </c>
    </row>
    <row r="21" spans="2:11" x14ac:dyDescent="0.45">
      <c r="B21" s="7"/>
      <c r="C21" s="8" t="s">
        <v>31</v>
      </c>
      <c r="D21" s="7">
        <v>1</v>
      </c>
      <c r="E21" s="9">
        <v>1000</v>
      </c>
      <c r="F21" s="8" t="s">
        <v>19</v>
      </c>
      <c r="G21" s="27">
        <v>3.0000000000000001E-3</v>
      </c>
      <c r="H21" s="25">
        <f>(G21*E21*D21)</f>
        <v>3</v>
      </c>
      <c r="I21" s="10" t="s">
        <v>74</v>
      </c>
    </row>
    <row r="22" spans="2:11" x14ac:dyDescent="0.45">
      <c r="B22" s="7"/>
      <c r="C22" s="8" t="s">
        <v>32</v>
      </c>
      <c r="D22" s="7">
        <v>1</v>
      </c>
      <c r="E22" s="9">
        <v>20</v>
      </c>
      <c r="F22" s="8" t="s">
        <v>47</v>
      </c>
      <c r="G22" s="27">
        <v>0.27950000000000003</v>
      </c>
      <c r="H22" s="25">
        <f>(G22*E22*D22)</f>
        <v>5.5900000000000007</v>
      </c>
      <c r="I22" s="10" t="s">
        <v>75</v>
      </c>
    </row>
    <row r="23" spans="2:11" x14ac:dyDescent="0.45">
      <c r="B23" s="7"/>
      <c r="C23" s="8" t="s">
        <v>33</v>
      </c>
      <c r="D23" s="7">
        <v>730.5</v>
      </c>
      <c r="E23" s="9">
        <v>2</v>
      </c>
      <c r="F23" s="8" t="s">
        <v>39</v>
      </c>
      <c r="G23" s="27">
        <v>0.26829999999999998</v>
      </c>
      <c r="H23" s="25">
        <f>(G23*E23*D23)</f>
        <v>391.98629999999997</v>
      </c>
      <c r="I23" s="10" t="s">
        <v>43</v>
      </c>
    </row>
    <row r="24" spans="2:11" x14ac:dyDescent="0.45">
      <c r="B24" s="7"/>
      <c r="C24" s="8" t="s">
        <v>34</v>
      </c>
      <c r="D24" s="7">
        <v>1</v>
      </c>
      <c r="E24" s="9">
        <v>1000</v>
      </c>
      <c r="F24" s="8" t="s">
        <v>40</v>
      </c>
      <c r="G24" s="27">
        <v>1.9400000000000001E-2</v>
      </c>
      <c r="H24" s="25">
        <f>(G24*E24*D24)</f>
        <v>19.400000000000002</v>
      </c>
      <c r="I24" s="10" t="s">
        <v>44</v>
      </c>
    </row>
    <row r="25" spans="2:11" x14ac:dyDescent="0.45">
      <c r="B25" s="7"/>
      <c r="C25" s="8" t="s">
        <v>35</v>
      </c>
      <c r="D25" s="7">
        <v>730.5</v>
      </c>
      <c r="E25" s="9">
        <v>4</v>
      </c>
      <c r="F25" s="8" t="s">
        <v>41</v>
      </c>
      <c r="G25" s="27">
        <v>2.3900000000000001E-2</v>
      </c>
      <c r="H25" s="25">
        <f>(G25*E25*D25)</f>
        <v>69.835800000000006</v>
      </c>
      <c r="I25" s="10" t="s">
        <v>51</v>
      </c>
    </row>
    <row r="26" spans="2:11" x14ac:dyDescent="0.45">
      <c r="B26" s="7"/>
      <c r="C26" s="8" t="s">
        <v>36</v>
      </c>
      <c r="D26" s="7">
        <v>730.5</v>
      </c>
      <c r="E26" s="9">
        <v>16</v>
      </c>
      <c r="F26" s="8" t="s">
        <v>42</v>
      </c>
      <c r="G26" s="27">
        <v>1.5E-3</v>
      </c>
      <c r="H26" s="25">
        <f>(G26*E26*D26)</f>
        <v>17.532</v>
      </c>
      <c r="I26" s="10" t="s">
        <v>52</v>
      </c>
    </row>
    <row r="27" spans="2:11" x14ac:dyDescent="0.45">
      <c r="B27" s="7"/>
      <c r="C27" s="8" t="s">
        <v>37</v>
      </c>
      <c r="D27" s="7">
        <v>1</v>
      </c>
      <c r="E27" s="9">
        <v>500</v>
      </c>
      <c r="F27" s="8" t="s">
        <v>17</v>
      </c>
      <c r="G27" s="27">
        <v>2.0299999999999999E-2</v>
      </c>
      <c r="H27" s="25">
        <f>(G27*E27*D27)</f>
        <v>10.149999999999999</v>
      </c>
      <c r="I27" s="10" t="s">
        <v>49</v>
      </c>
    </row>
    <row r="28" spans="2:11" x14ac:dyDescent="0.45">
      <c r="B28" s="7"/>
      <c r="C28" s="8" t="s">
        <v>38</v>
      </c>
      <c r="D28" s="7">
        <v>1</v>
      </c>
      <c r="E28" s="9">
        <v>5000</v>
      </c>
      <c r="F28" s="8" t="s">
        <v>54</v>
      </c>
      <c r="G28" s="27">
        <v>1.2999999999999999E-3</v>
      </c>
      <c r="H28" s="25">
        <f>(G28*E28*D28)</f>
        <v>6.5</v>
      </c>
      <c r="I28" s="10" t="s">
        <v>50</v>
      </c>
    </row>
    <row r="29" spans="2:11" x14ac:dyDescent="0.45">
      <c r="G29" s="28" t="s">
        <v>5</v>
      </c>
      <c r="H29" s="29">
        <f>SUM(H17:H28)</f>
        <v>2487.4241000000002</v>
      </c>
    </row>
    <row r="30" spans="2:11" x14ac:dyDescent="0.45">
      <c r="G30" s="19"/>
      <c r="H30" s="19"/>
    </row>
    <row r="31" spans="2:11" x14ac:dyDescent="0.45">
      <c r="G31" s="19"/>
      <c r="H31" s="19"/>
    </row>
    <row r="32" spans="2:11" x14ac:dyDescent="0.45">
      <c r="G32" s="19"/>
      <c r="H32" s="19"/>
    </row>
    <row r="33" spans="2:9" x14ac:dyDescent="0.45">
      <c r="G33" s="19"/>
      <c r="H33" s="19"/>
    </row>
    <row r="34" spans="2:9" x14ac:dyDescent="0.45">
      <c r="B34" s="13" t="s">
        <v>22</v>
      </c>
      <c r="G34" s="19"/>
      <c r="H34" s="19"/>
    </row>
    <row r="35" spans="2:9" x14ac:dyDescent="0.45">
      <c r="G35" s="19"/>
      <c r="H35" s="19"/>
    </row>
    <row r="36" spans="2:9" x14ac:dyDescent="0.45">
      <c r="B36" s="2"/>
      <c r="C36" s="5" t="s">
        <v>7</v>
      </c>
      <c r="D36" s="5"/>
      <c r="E36" s="5"/>
      <c r="F36" s="5"/>
      <c r="G36" s="20"/>
      <c r="H36" s="20"/>
      <c r="I36" s="5" t="s">
        <v>14</v>
      </c>
    </row>
    <row r="37" spans="2:9" x14ac:dyDescent="0.45">
      <c r="B37" s="7"/>
      <c r="C37" s="8" t="s">
        <v>28</v>
      </c>
      <c r="D37" s="7"/>
      <c r="E37" s="9"/>
      <c r="F37" s="8"/>
      <c r="G37" s="15"/>
      <c r="H37" s="16"/>
      <c r="I37" s="10"/>
    </row>
    <row r="38" spans="2:9" x14ac:dyDescent="0.45">
      <c r="B38" s="7"/>
      <c r="C38" s="8" t="s">
        <v>29</v>
      </c>
      <c r="D38" s="7"/>
      <c r="E38" s="9"/>
      <c r="F38" s="8"/>
      <c r="G38" s="15"/>
      <c r="H38" s="16"/>
      <c r="I38" s="10"/>
    </row>
    <row r="39" spans="2:9" x14ac:dyDescent="0.45">
      <c r="B39" s="7"/>
      <c r="C39" s="8" t="s">
        <v>30</v>
      </c>
      <c r="D39" s="7"/>
      <c r="E39" s="9"/>
      <c r="F39" s="8"/>
      <c r="G39" s="15"/>
      <c r="H39" s="16"/>
      <c r="I39" s="10"/>
    </row>
    <row r="40" spans="2:9" x14ac:dyDescent="0.45">
      <c r="G40" s="17" t="s">
        <v>5</v>
      </c>
      <c r="H40" s="18"/>
    </row>
    <row r="41" spans="2:9" x14ac:dyDescent="0.45">
      <c r="G41" s="19"/>
      <c r="H41" s="19"/>
    </row>
    <row r="45" spans="2:9" x14ac:dyDescent="0.45">
      <c r="B45" t="s">
        <v>56</v>
      </c>
      <c r="C45" s="30" t="s">
        <v>65</v>
      </c>
    </row>
    <row r="46" spans="2:9" x14ac:dyDescent="0.45">
      <c r="C46" s="30" t="s">
        <v>66</v>
      </c>
    </row>
    <row r="47" spans="2:9" x14ac:dyDescent="0.45">
      <c r="C47" s="30" t="s">
        <v>72</v>
      </c>
    </row>
    <row r="48" spans="2:9" x14ac:dyDescent="0.45">
      <c r="C48" s="30" t="s">
        <v>73</v>
      </c>
    </row>
    <row r="49" spans="3:3" x14ac:dyDescent="0.45">
      <c r="C49" s="30" t="s">
        <v>67</v>
      </c>
    </row>
    <row r="50" spans="3:3" x14ac:dyDescent="0.45">
      <c r="C50" s="30" t="s">
        <v>68</v>
      </c>
    </row>
    <row r="51" spans="3:3" x14ac:dyDescent="0.45">
      <c r="C51" s="30" t="s">
        <v>69</v>
      </c>
    </row>
    <row r="52" spans="3:3" x14ac:dyDescent="0.45">
      <c r="C52" s="30" t="s">
        <v>70</v>
      </c>
    </row>
    <row r="53" spans="3:3" x14ac:dyDescent="0.45">
      <c r="C53" s="30" t="s">
        <v>71</v>
      </c>
    </row>
    <row r="54" spans="3:3" x14ac:dyDescent="0.45">
      <c r="C54" s="30" t="s">
        <v>76</v>
      </c>
    </row>
  </sheetData>
  <mergeCells count="1">
    <mergeCell ref="C10:D10"/>
  </mergeCells>
  <pageMargins left="0.7" right="0.7" top="0.75" bottom="0.75" header="0.3" footer="0.3"/>
  <pageSetup paperSize="9" orientation="portrait" r:id="rId1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E133-3D8D-4AEC-914F-DDCDC5BD39EF}">
  <dimension ref="B2:L54"/>
  <sheetViews>
    <sheetView topLeftCell="A34" workbookViewId="0">
      <selection activeCell="F16" sqref="F16"/>
    </sheetView>
  </sheetViews>
  <sheetFormatPr defaultColWidth="8.796875" defaultRowHeight="14.25" x14ac:dyDescent="0.45"/>
  <cols>
    <col min="2" max="2" width="17.86328125" customWidth="1"/>
    <col min="3" max="3" width="67.33203125" bestFit="1" customWidth="1"/>
    <col min="4" max="4" width="14.06640625" customWidth="1"/>
    <col min="6" max="6" width="29.59765625" bestFit="1" customWidth="1"/>
    <col min="8" max="8" width="9.1328125" customWidth="1"/>
    <col min="9" max="9" width="14.9296875" customWidth="1"/>
    <col min="10" max="10" width="34.33203125" customWidth="1"/>
  </cols>
  <sheetData>
    <row r="2" spans="2:10" x14ac:dyDescent="0.45">
      <c r="G2" s="12"/>
      <c r="H2" s="12"/>
    </row>
    <row r="4" spans="2:10" ht="15.75" x14ac:dyDescent="0.5">
      <c r="B4" s="1" t="s">
        <v>0</v>
      </c>
    </row>
    <row r="6" spans="2:10" x14ac:dyDescent="0.45">
      <c r="B6" s="2" t="s">
        <v>1</v>
      </c>
      <c r="C6" s="16" t="s">
        <v>2</v>
      </c>
      <c r="D6" s="16" t="s">
        <v>3</v>
      </c>
    </row>
    <row r="7" spans="2:10" ht="16.05" customHeight="1" x14ac:dyDescent="0.45">
      <c r="B7" s="2" t="s">
        <v>4</v>
      </c>
      <c r="C7" s="25">
        <f>H29</f>
        <v>20357.920799999996</v>
      </c>
      <c r="D7" s="25">
        <f>I29</f>
        <v>244295.0496</v>
      </c>
    </row>
    <row r="8" spans="2:10" x14ac:dyDescent="0.45">
      <c r="B8" s="4" t="s">
        <v>5</v>
      </c>
      <c r="C8" s="26"/>
      <c r="D8" s="26">
        <f>SUM(D7:D7)</f>
        <v>244295.0496</v>
      </c>
    </row>
    <row r="9" spans="2:10" x14ac:dyDescent="0.45">
      <c r="C9" s="19"/>
      <c r="D9" s="19"/>
    </row>
    <row r="10" spans="2:10" x14ac:dyDescent="0.45">
      <c r="C10" s="23" t="s">
        <v>23</v>
      </c>
      <c r="D10" s="23"/>
    </row>
    <row r="11" spans="2:10" x14ac:dyDescent="0.45">
      <c r="B11" s="3" t="s">
        <v>21</v>
      </c>
      <c r="C11" s="16"/>
      <c r="D11" s="16">
        <f>(I40)</f>
        <v>0</v>
      </c>
    </row>
    <row r="12" spans="2:10" ht="15.75" x14ac:dyDescent="0.5">
      <c r="B12" s="1"/>
      <c r="C12" s="21" t="s">
        <v>24</v>
      </c>
      <c r="D12" s="22"/>
    </row>
    <row r="13" spans="2:10" ht="15.75" x14ac:dyDescent="0.5">
      <c r="B13" s="1"/>
      <c r="D13" s="14"/>
    </row>
    <row r="14" spans="2:10" ht="15.75" x14ac:dyDescent="0.5">
      <c r="B14" s="1" t="s">
        <v>4</v>
      </c>
    </row>
    <row r="16" spans="2:10" ht="39.4" x14ac:dyDescent="0.45">
      <c r="B16" s="2" t="s">
        <v>6</v>
      </c>
      <c r="C16" s="2" t="s">
        <v>7</v>
      </c>
      <c r="D16" s="2" t="s">
        <v>8</v>
      </c>
      <c r="E16" s="2" t="s">
        <v>9</v>
      </c>
      <c r="F16" s="2" t="s">
        <v>10</v>
      </c>
      <c r="G16" s="2" t="s">
        <v>11</v>
      </c>
      <c r="H16" s="2" t="s">
        <v>12</v>
      </c>
      <c r="I16" s="2" t="s">
        <v>13</v>
      </c>
      <c r="J16" s="2" t="s">
        <v>14</v>
      </c>
    </row>
    <row r="17" spans="2:12" x14ac:dyDescent="0.45">
      <c r="B17" s="7"/>
      <c r="C17" s="8" t="s">
        <v>25</v>
      </c>
      <c r="D17" s="7">
        <v>730.5</v>
      </c>
      <c r="E17" s="9">
        <v>2</v>
      </c>
      <c r="F17" s="8" t="s">
        <v>26</v>
      </c>
      <c r="G17" s="27">
        <v>0.51529999999999998</v>
      </c>
      <c r="H17" s="25">
        <f>G17*E17*D17</f>
        <v>752.85329999999999</v>
      </c>
      <c r="I17" s="25">
        <f>H17*12</f>
        <v>9034.2396000000008</v>
      </c>
      <c r="J17" s="10" t="s">
        <v>27</v>
      </c>
      <c r="L17" s="6"/>
    </row>
    <row r="18" spans="2:12" x14ac:dyDescent="0.45">
      <c r="B18" s="7"/>
      <c r="C18" s="8" t="s">
        <v>45</v>
      </c>
      <c r="D18" s="7">
        <v>730.5</v>
      </c>
      <c r="E18" s="9">
        <v>4</v>
      </c>
      <c r="F18" s="8" t="s">
        <v>41</v>
      </c>
      <c r="G18" s="27">
        <v>0.98750000000000004</v>
      </c>
      <c r="H18" s="25">
        <f>(G18*E18*D18)</f>
        <v>2885.4749999999999</v>
      </c>
      <c r="I18" s="25">
        <f>(H18*12)</f>
        <v>34625.699999999997</v>
      </c>
      <c r="J18" s="10" t="s">
        <v>53</v>
      </c>
      <c r="L18" s="6"/>
    </row>
    <row r="19" spans="2:12" x14ac:dyDescent="0.45">
      <c r="B19" s="7"/>
      <c r="C19" s="8" t="s">
        <v>15</v>
      </c>
      <c r="D19" s="7">
        <v>1</v>
      </c>
      <c r="E19" s="9">
        <v>5000</v>
      </c>
      <c r="F19" s="8" t="s">
        <v>17</v>
      </c>
      <c r="G19" s="27">
        <v>2.0299999999999999E-2</v>
      </c>
      <c r="H19" s="25">
        <f>(G19*E19)</f>
        <v>101.5</v>
      </c>
      <c r="I19" s="25">
        <f>(H19*12)</f>
        <v>1218</v>
      </c>
      <c r="J19" s="10" t="s">
        <v>46</v>
      </c>
    </row>
    <row r="20" spans="2:12" x14ac:dyDescent="0.45">
      <c r="B20" s="7"/>
      <c r="C20" s="8" t="s">
        <v>18</v>
      </c>
      <c r="D20" s="7">
        <v>730.5</v>
      </c>
      <c r="E20" s="9">
        <v>2</v>
      </c>
      <c r="F20" s="8" t="s">
        <v>16</v>
      </c>
      <c r="G20" s="27">
        <v>0.16969999999999999</v>
      </c>
      <c r="H20" s="25">
        <f>(G20*E20*D20)</f>
        <v>247.93169999999998</v>
      </c>
      <c r="I20" s="25">
        <f>H20*12</f>
        <v>2975.1803999999997</v>
      </c>
      <c r="J20" s="11" t="s">
        <v>20</v>
      </c>
    </row>
    <row r="21" spans="2:12" x14ac:dyDescent="0.45">
      <c r="B21" s="7"/>
      <c r="C21" s="8" t="s">
        <v>31</v>
      </c>
      <c r="D21" s="7">
        <v>730.5</v>
      </c>
      <c r="E21" s="9">
        <v>2</v>
      </c>
      <c r="F21" s="8" t="s">
        <v>78</v>
      </c>
      <c r="G21" s="27">
        <v>9.58</v>
      </c>
      <c r="H21" s="25">
        <f>(G21*E21*D21)</f>
        <v>13996.38</v>
      </c>
      <c r="I21" s="25">
        <f>(H21*12)</f>
        <v>167956.56</v>
      </c>
      <c r="J21" s="10" t="s">
        <v>79</v>
      </c>
    </row>
    <row r="22" spans="2:12" x14ac:dyDescent="0.45">
      <c r="B22" s="7"/>
      <c r="C22" s="8" t="s">
        <v>32</v>
      </c>
      <c r="D22" s="7">
        <v>1</v>
      </c>
      <c r="E22" s="9">
        <v>2000</v>
      </c>
      <c r="F22" s="8" t="s">
        <v>47</v>
      </c>
      <c r="G22" s="27">
        <v>0.27950000000000003</v>
      </c>
      <c r="H22" s="25">
        <f>(G22*E22*D22)</f>
        <v>559</v>
      </c>
      <c r="I22" s="25">
        <f>(H22*12)</f>
        <v>6708</v>
      </c>
      <c r="J22" s="10" t="s">
        <v>48</v>
      </c>
    </row>
    <row r="23" spans="2:12" x14ac:dyDescent="0.45">
      <c r="B23" s="7"/>
      <c r="C23" s="8" t="s">
        <v>33</v>
      </c>
      <c r="D23" s="7">
        <v>730.5</v>
      </c>
      <c r="E23" s="9">
        <v>8</v>
      </c>
      <c r="F23" s="8" t="s">
        <v>39</v>
      </c>
      <c r="G23" s="27">
        <v>0.26829999999999998</v>
      </c>
      <c r="H23" s="25">
        <f>(G23*E23*D23)</f>
        <v>1567.9451999999999</v>
      </c>
      <c r="I23" s="25">
        <f>(H23*12)</f>
        <v>18815.342399999998</v>
      </c>
      <c r="J23" s="10" t="s">
        <v>43</v>
      </c>
    </row>
    <row r="24" spans="2:12" x14ac:dyDescent="0.45">
      <c r="B24" s="7"/>
      <c r="C24" s="8" t="s">
        <v>34</v>
      </c>
      <c r="D24" s="7">
        <v>1</v>
      </c>
      <c r="E24" s="9">
        <v>2000</v>
      </c>
      <c r="F24" s="8" t="s">
        <v>40</v>
      </c>
      <c r="G24" s="27">
        <v>1.9400000000000001E-2</v>
      </c>
      <c r="H24" s="25">
        <f>(G24*E24*D24)</f>
        <v>38.800000000000004</v>
      </c>
      <c r="I24" s="25">
        <f>(H24*12)</f>
        <v>465.6</v>
      </c>
      <c r="J24" s="10" t="s">
        <v>44</v>
      </c>
    </row>
    <row r="25" spans="2:12" x14ac:dyDescent="0.45">
      <c r="B25" s="7"/>
      <c r="C25" s="8" t="s">
        <v>35</v>
      </c>
      <c r="D25" s="7">
        <v>730.5</v>
      </c>
      <c r="E25" s="9">
        <v>8</v>
      </c>
      <c r="F25" s="8" t="s">
        <v>41</v>
      </c>
      <c r="G25" s="27">
        <v>2.3900000000000001E-2</v>
      </c>
      <c r="H25" s="25">
        <f>(G25*E25*D25)</f>
        <v>139.67160000000001</v>
      </c>
      <c r="I25" s="25">
        <f>(H25*12)</f>
        <v>1676.0592000000001</v>
      </c>
      <c r="J25" s="10" t="s">
        <v>51</v>
      </c>
    </row>
    <row r="26" spans="2:12" x14ac:dyDescent="0.45">
      <c r="B26" s="7"/>
      <c r="C26" s="8" t="s">
        <v>36</v>
      </c>
      <c r="D26" s="7">
        <v>730.5</v>
      </c>
      <c r="E26" s="9">
        <v>32</v>
      </c>
      <c r="F26" s="8" t="s">
        <v>42</v>
      </c>
      <c r="G26" s="27">
        <v>1.5E-3</v>
      </c>
      <c r="H26" s="25">
        <f>(G26*E26*D26)</f>
        <v>35.064</v>
      </c>
      <c r="I26" s="25">
        <f>(H26*12)</f>
        <v>420.76800000000003</v>
      </c>
      <c r="J26" s="10" t="s">
        <v>52</v>
      </c>
    </row>
    <row r="27" spans="2:12" x14ac:dyDescent="0.45">
      <c r="B27" s="7"/>
      <c r="C27" s="8" t="s">
        <v>37</v>
      </c>
      <c r="D27" s="7">
        <v>1</v>
      </c>
      <c r="E27" s="9">
        <v>1000</v>
      </c>
      <c r="F27" s="8" t="s">
        <v>17</v>
      </c>
      <c r="G27" s="27">
        <v>2.0299999999999999E-2</v>
      </c>
      <c r="H27" s="25">
        <f>(G27*E27*D27)</f>
        <v>20.299999999999997</v>
      </c>
      <c r="I27" s="25">
        <f>(H27*12)</f>
        <v>243.59999999999997</v>
      </c>
      <c r="J27" s="10" t="s">
        <v>49</v>
      </c>
    </row>
    <row r="28" spans="2:12" x14ac:dyDescent="0.45">
      <c r="B28" s="7"/>
      <c r="C28" s="8" t="s">
        <v>38</v>
      </c>
      <c r="D28" s="7">
        <v>1</v>
      </c>
      <c r="E28" s="9">
        <v>10000</v>
      </c>
      <c r="F28" s="8" t="s">
        <v>54</v>
      </c>
      <c r="G28" s="27">
        <v>1.2999999999999999E-3</v>
      </c>
      <c r="H28" s="25">
        <f>(G28*E28*D28)</f>
        <v>13</v>
      </c>
      <c r="I28" s="25">
        <f>(H28*12)</f>
        <v>156</v>
      </c>
      <c r="J28" s="10" t="s">
        <v>50</v>
      </c>
    </row>
    <row r="29" spans="2:12" x14ac:dyDescent="0.45">
      <c r="G29" s="28" t="s">
        <v>5</v>
      </c>
      <c r="H29" s="29">
        <f>SUM(H17:H28)</f>
        <v>20357.920799999996</v>
      </c>
      <c r="I29" s="29">
        <f>SUM(I17:I28)</f>
        <v>244295.0496</v>
      </c>
    </row>
    <row r="30" spans="2:12" x14ac:dyDescent="0.45">
      <c r="G30" s="19"/>
      <c r="H30" s="19"/>
      <c r="I30" s="19"/>
    </row>
    <row r="31" spans="2:12" x14ac:dyDescent="0.45">
      <c r="G31" s="19"/>
      <c r="H31" s="19"/>
      <c r="I31" s="19"/>
    </row>
    <row r="32" spans="2:12" x14ac:dyDescent="0.45">
      <c r="G32" s="19"/>
      <c r="H32" s="19"/>
      <c r="I32" s="19"/>
    </row>
    <row r="33" spans="2:10" x14ac:dyDescent="0.45">
      <c r="G33" s="19"/>
      <c r="H33" s="19"/>
      <c r="I33" s="19"/>
    </row>
    <row r="34" spans="2:10" x14ac:dyDescent="0.45">
      <c r="B34" s="13" t="s">
        <v>22</v>
      </c>
      <c r="G34" s="19"/>
      <c r="H34" s="19"/>
      <c r="I34" s="19"/>
    </row>
    <row r="35" spans="2:10" x14ac:dyDescent="0.45">
      <c r="G35" s="19"/>
      <c r="H35" s="19"/>
      <c r="I35" s="19"/>
    </row>
    <row r="36" spans="2:10" x14ac:dyDescent="0.45">
      <c r="B36" s="2"/>
      <c r="C36" s="5" t="s">
        <v>7</v>
      </c>
      <c r="D36" s="5"/>
      <c r="E36" s="5"/>
      <c r="F36" s="5"/>
      <c r="G36" s="20"/>
      <c r="H36" s="20"/>
      <c r="I36" s="20" t="s">
        <v>23</v>
      </c>
      <c r="J36" s="5" t="s">
        <v>14</v>
      </c>
    </row>
    <row r="37" spans="2:10" x14ac:dyDescent="0.45">
      <c r="B37" s="7"/>
      <c r="C37" s="8" t="s">
        <v>28</v>
      </c>
      <c r="D37" s="7"/>
      <c r="E37" s="9"/>
      <c r="F37" s="8"/>
      <c r="G37" s="15"/>
      <c r="H37" s="16"/>
      <c r="I37" s="16"/>
      <c r="J37" s="10"/>
    </row>
    <row r="38" spans="2:10" x14ac:dyDescent="0.45">
      <c r="B38" s="7"/>
      <c r="C38" s="8" t="s">
        <v>29</v>
      </c>
      <c r="D38" s="7"/>
      <c r="E38" s="9"/>
      <c r="F38" s="8"/>
      <c r="G38" s="15"/>
      <c r="H38" s="16"/>
      <c r="I38" s="16"/>
      <c r="J38" s="10"/>
    </row>
    <row r="39" spans="2:10" x14ac:dyDescent="0.45">
      <c r="B39" s="7"/>
      <c r="C39" s="8" t="s">
        <v>30</v>
      </c>
      <c r="D39" s="7"/>
      <c r="E39" s="9"/>
      <c r="F39" s="8"/>
      <c r="G39" s="15"/>
      <c r="H39" s="16"/>
      <c r="I39" s="16"/>
      <c r="J39" s="10"/>
    </row>
    <row r="40" spans="2:10" x14ac:dyDescent="0.45">
      <c r="G40" s="17" t="s">
        <v>5</v>
      </c>
      <c r="H40" s="18"/>
      <c r="I40" s="18">
        <f>SUM(I37:I39)</f>
        <v>0</v>
      </c>
    </row>
    <row r="41" spans="2:10" x14ac:dyDescent="0.45">
      <c r="G41" s="19"/>
      <c r="H41" s="19"/>
      <c r="I41" s="19"/>
    </row>
    <row r="45" spans="2:10" x14ac:dyDescent="0.45">
      <c r="B45" t="s">
        <v>56</v>
      </c>
      <c r="C45" s="13" t="s">
        <v>57</v>
      </c>
    </row>
    <row r="46" spans="2:10" x14ac:dyDescent="0.45">
      <c r="C46" s="13" t="s">
        <v>58</v>
      </c>
    </row>
    <row r="47" spans="2:10" x14ac:dyDescent="0.45">
      <c r="C47" s="13" t="s">
        <v>59</v>
      </c>
    </row>
    <row r="48" spans="2:10" x14ac:dyDescent="0.45">
      <c r="C48" s="13" t="s">
        <v>60</v>
      </c>
    </row>
    <row r="49" spans="3:3" x14ac:dyDescent="0.45">
      <c r="C49" s="13" t="s">
        <v>89</v>
      </c>
    </row>
    <row r="50" spans="3:3" x14ac:dyDescent="0.45">
      <c r="C50" s="13" t="s">
        <v>61</v>
      </c>
    </row>
    <row r="51" spans="3:3" x14ac:dyDescent="0.45">
      <c r="C51" s="13" t="s">
        <v>62</v>
      </c>
    </row>
    <row r="52" spans="3:3" x14ac:dyDescent="0.45">
      <c r="C52" s="13" t="s">
        <v>63</v>
      </c>
    </row>
    <row r="53" spans="3:3" x14ac:dyDescent="0.45">
      <c r="C53" s="13" t="s">
        <v>64</v>
      </c>
    </row>
    <row r="54" spans="3:3" x14ac:dyDescent="0.45">
      <c r="C54" s="30" t="s">
        <v>77</v>
      </c>
    </row>
  </sheetData>
  <mergeCells count="1">
    <mergeCell ref="C10:D10"/>
  </mergeCells>
  <pageMargins left="0.7" right="0.7" top="0.75" bottom="0.75" header="0.3" footer="0.3"/>
  <pageSetup paperSize="9" orientation="portrait" r:id="rId1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Morrisons Production</vt:lpstr>
      <vt:lpstr>Morrisons Pilot</vt:lpstr>
      <vt:lpstr>Morrisons Prod with DAC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Sharma</dc:creator>
  <cp:lastModifiedBy>Pankaj Sharma</cp:lastModifiedBy>
  <dcterms:created xsi:type="dcterms:W3CDTF">2021-11-22T16:22:14Z</dcterms:created>
  <dcterms:modified xsi:type="dcterms:W3CDTF">2025-07-09T11:46:34Z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65055-977f-4acd-9884-1bec8e5ad200_Enabled">
    <vt:lpwstr>true</vt:lpwstr>
  </property>
  <property fmtid="{D5CDD505-2E9C-101B-9397-08002B2CF9AE}" pid="3" name="MSIP_Label_56665055-977f-4acd-9884-1bec8e5ad200_SetDate">
    <vt:lpwstr>2025-05-24T11:14:20Z</vt:lpwstr>
  </property>
  <property fmtid="{D5CDD505-2E9C-101B-9397-08002B2CF9AE}" pid="4" name="MSIP_Label_56665055-977f-4acd-9884-1bec8e5ad200_Method">
    <vt:lpwstr>Standard</vt:lpwstr>
  </property>
  <property fmtid="{D5CDD505-2E9C-101B-9397-08002B2CF9AE}" pid="5" name="MSIP_Label_56665055-977f-4acd-9884-1bec8e5ad200_Name">
    <vt:lpwstr>Anyone ( Unrestricted )</vt:lpwstr>
  </property>
  <property fmtid="{D5CDD505-2E9C-101B-9397-08002B2CF9AE}" pid="6" name="MSIP_Label_56665055-977f-4acd-9884-1bec8e5ad200_SiteId">
    <vt:lpwstr>4e2c6054-71cb-48f1-bd6c-3a9705aca71b</vt:lpwstr>
  </property>
  <property fmtid="{D5CDD505-2E9C-101B-9397-08002B2CF9AE}" pid="7" name="MSIP_Label_56665055-977f-4acd-9884-1bec8e5ad200_ActionId">
    <vt:lpwstr>24cb3c6c-2339-4e4f-bbe4-fed7676bcd19</vt:lpwstr>
  </property>
  <property fmtid="{D5CDD505-2E9C-101B-9397-08002B2CF9AE}" pid="8" name="MSIP_Label_56665055-977f-4acd-9884-1bec8e5ad200_ContentBits">
    <vt:lpwstr>3</vt:lpwstr>
  </property>
</Properties>
</file>